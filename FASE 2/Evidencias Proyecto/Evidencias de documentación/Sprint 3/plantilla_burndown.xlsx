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3 - FitSearch" sheetId="1" state="visible" r:id="rId3"/>
  </sheet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2" tint="-0.1"/>
        <bgColor rgb="FFD9D9D9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B8B8B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— Sprint 3 (FitSearch), avance al 12-10-2026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"Reales"</c:f>
              <c:strCache>
                <c:ptCount val="1"/>
                <c:pt idx="0">
                  <c:v>Reales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1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</c:numLit>
          </c:cat>
          <c:val>
            <c:numRef>
              <c:f>'Sprint 3 - FitSearch'!$B$39:$P$39</c:f>
              <c:numCache>
                <c:formatCode>General</c:formatCode>
                <c:ptCount val="15"/>
                <c:pt idx="0">
                  <c:v>65</c:v>
                </c:pt>
                <c:pt idx="1">
                  <c:v>55</c:v>
                </c:pt>
                <c:pt idx="2">
                  <c:v>51</c:v>
                </c:pt>
                <c:pt idx="3">
                  <c:v>42</c:v>
                </c:pt>
                <c:pt idx="4">
                  <c:v>34</c:v>
                </c:pt>
                <c:pt idx="5">
                  <c:v>27</c:v>
                </c:pt>
                <c:pt idx="6">
                  <c:v>20</c:v>
                </c:pt>
                <c:pt idx="7">
                  <c:v>12</c:v>
                </c:pt>
                <c:pt idx="8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"Estimadas (ideal)"</c:f>
              <c:strCache>
                <c:ptCount val="1"/>
                <c:pt idx="0">
                  <c:v>Estimadas (ideal)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1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</c:numLit>
          </c:cat>
          <c:val>
            <c:numRef>
              <c:f>'Sprint 3 - FitSearch'!$B$41:$P$41</c:f>
              <c:numCache>
                <c:formatCode>General</c:formatCode>
                <c:ptCount val="15"/>
                <c:pt idx="0">
                  <c:v>65</c:v>
                </c:pt>
                <c:pt idx="1">
                  <c:v>60.3571</c:v>
                </c:pt>
                <c:pt idx="2">
                  <c:v>55.7143</c:v>
                </c:pt>
                <c:pt idx="3">
                  <c:v>51.0714</c:v>
                </c:pt>
                <c:pt idx="4">
                  <c:v>46.4286</c:v>
                </c:pt>
                <c:pt idx="5">
                  <c:v>41.7857</c:v>
                </c:pt>
                <c:pt idx="6">
                  <c:v>37.1429</c:v>
                </c:pt>
                <c:pt idx="7">
                  <c:v>32.5</c:v>
                </c:pt>
                <c:pt idx="8">
                  <c:v>27.8571</c:v>
                </c:pt>
                <c:pt idx="9">
                  <c:v>23.2143</c:v>
                </c:pt>
                <c:pt idx="10">
                  <c:v>18.5714</c:v>
                </c:pt>
                <c:pt idx="11">
                  <c:v>13.9286</c:v>
                </c:pt>
                <c:pt idx="12">
                  <c:v>9.2857</c:v>
                </c:pt>
                <c:pt idx="13">
                  <c:v>4.6429</c:v>
                </c:pt>
                <c:pt idx="14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806351"/>
        <c:axId val="68727190"/>
      </c:lineChart>
      <c:catAx>
        <c:axId val="128063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27190"/>
        <c:crosses val="autoZero"/>
        <c:auto val="1"/>
        <c:lblAlgn val="ctr"/>
        <c:lblOffset val="100"/>
        <c:noMultiLvlLbl val="0"/>
      </c:catAx>
      <c:valAx>
        <c:axId val="6872719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063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47</xdr:row>
      <xdr:rowOff>9360</xdr:rowOff>
    </xdr:from>
    <xdr:to>
      <xdr:col>17</xdr:col>
      <xdr:colOff>0</xdr:colOff>
      <xdr:row>69</xdr:row>
      <xdr:rowOff>10440</xdr:rowOff>
    </xdr:to>
    <xdr:graphicFrame>
      <xdr:nvGraphicFramePr>
        <xdr:cNvPr id="0" name="Chart 1"/>
        <xdr:cNvGraphicFramePr/>
      </xdr:nvGraphicFramePr>
      <xdr:xfrm>
        <a:off x="0" y="3848040"/>
        <a:ext cx="719928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12"/>
    <col collapsed="false" customWidth="true" hidden="false" outlineLevel="0" max="17" min="3" style="1" width="5.5"/>
  </cols>
  <sheetData>
    <row r="1" customFormat="false" ht="21" hidden="false" customHeight="true" outlineLevel="0" collapsed="false">
      <c r="A1" s="2" t="inlineStr">
        <is>
          <t xml:space="preserve">Control del Sprint</t>
        </is>
      </c>
      <c r="B1" s="3" t="inlineStr">
        <is>
          <t xml:space="preserve">Sprint 3 - FitSearch</t>
        </is>
      </c>
    </row>
    <row r="3" customFormat="false" ht="15" hidden="false" customHeight="true" outlineLevel="0" collapsed="false">
      <c r="A3" s="4" t="inlineStr">
        <is>
          <t xml:space="preserve">Historias de Usuario o Tarea</t>
        </is>
      </c>
      <c r="B3" s="4" t="inlineStr">
        <is>
          <t xml:space="preserve">horas estimadas</t>
        </is>
      </c>
      <c r="C3" s="4" t="inlineStr">
        <is>
          <t xml:space="preserve">DIA</t>
        </is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 t="inlineStr">
        <is>
          <t xml:space="preserve">Total</t>
        </is>
      </c>
    </row>
    <row r="4" customFormat="false" ht="15" hidden="false" customHeight="true" outlineLevel="0" collapsed="false">
      <c r="A4" s="4"/>
      <c r="B4" s="4"/>
      <c r="C4" s="6" t="n">
        <v>1</v>
      </c>
      <c r="D4" s="6" t="n">
        <v>2</v>
      </c>
      <c r="E4" s="6" t="n">
        <v>3</v>
      </c>
      <c r="F4" s="6" t="n">
        <v>4</v>
      </c>
      <c r="G4" s="6" t="n">
        <v>5</v>
      </c>
      <c r="H4" s="6" t="n">
        <v>6</v>
      </c>
      <c r="I4" s="6" t="n">
        <v>7</v>
      </c>
      <c r="J4" s="6" t="n">
        <v>8</v>
      </c>
      <c r="K4" s="6" t="n">
        <v>9</v>
      </c>
      <c r="L4" s="6" t="n">
        <v>10</v>
      </c>
      <c r="M4" s="6" t="n">
        <v>11</v>
      </c>
      <c r="N4" s="6" t="n">
        <v>12</v>
      </c>
      <c r="O4" s="6" t="n">
        <v>13</v>
      </c>
      <c r="P4" s="6" t="n">
        <v>14</v>
      </c>
      <c r="Q4" s="4"/>
    </row>
    <row r="5" customFormat="false" ht="30" hidden="false" customHeight="true" outlineLevel="0" collapsed="false">
      <c r="A5" s="8" t="inlineStr">
        <is>
          <t xml:space="preserve">FS-HU-05 — Distancia máxima y orden por cercanía en GET /api/profesionales (ST_Distance_Sphere en MySQL) con la ubicación del navegador redondeada</t>
        </is>
      </c>
      <c r="B5" s="9" t="n">
        <v>1</v>
      </c>
      <c r="C5" s="10" t="n">
        <v>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5" t="n">
        <f aca="false">SUM(C5:P5)</f>
        <v>1</v>
      </c>
    </row>
    <row r="6" customFormat="false" ht="30" hidden="false" customHeight="true" outlineLevel="0" collapsed="false">
      <c r="A6" s="22" t="inlineStr">
        <is>
          <t xml:space="preserve">FS-HU-06 — Mostrar los resultados de búsqueda en un mapa (Google Maps) y alternar entre mapa y lista</t>
        </is>
      </c>
      <c r="B6" s="15" t="n">
        <v>2</v>
      </c>
      <c r="C6" s="10"/>
      <c r="D6" s="10"/>
      <c r="E6" s="10"/>
      <c r="F6" s="10"/>
      <c r="G6" s="10"/>
      <c r="H6" s="10"/>
      <c r="I6" s="10"/>
      <c r="J6" s="10" t="n">
        <v>1</v>
      </c>
      <c r="K6" s="10"/>
      <c r="L6" s="10"/>
      <c r="M6" s="10"/>
      <c r="N6" s="10"/>
      <c r="O6" s="10"/>
      <c r="P6" s="10"/>
      <c r="Q6" s="15" t="n">
        <f aca="false">SUM(C6:P6)</f>
        <v>1</v>
      </c>
    </row>
    <row r="7" customFormat="false" ht="30" hidden="false" customHeight="true" outlineLevel="0" collapsed="false">
      <c r="A7" s="22" t="inlineStr">
        <is>
          <t xml:space="preserve">FS-HU-06 — Pruebas automatizadas de la vista de mapa y lista</t>
        </is>
      </c>
      <c r="B7" s="15" t="n">
        <v>1</v>
      </c>
      <c r="C7" s="10"/>
      <c r="D7" s="10"/>
      <c r="E7" s="10"/>
      <c r="F7" s="10"/>
      <c r="G7" s="10"/>
      <c r="H7" s="10"/>
      <c r="I7" s="10"/>
      <c r="J7" s="10" t="n">
        <v>1</v>
      </c>
      <c r="K7" s="10"/>
      <c r="L7" s="10"/>
      <c r="M7" s="10"/>
      <c r="N7" s="10"/>
      <c r="O7" s="10"/>
      <c r="P7" s="10"/>
      <c r="Q7" s="15" t="n">
        <f aca="false">SUM(C7:P7)</f>
        <v>1</v>
      </c>
    </row>
    <row r="8" customFormat="false" ht="30" hidden="false" customHeight="true" outlineLevel="0" collapsed="false">
      <c r="A8" s="22" t="inlineStr">
        <is>
          <t xml:space="preserve">FS-HU-14 — Crear la tabla reservas y sus endpoints (mensaje obligatorio, estados y máximo una reserva activa por bloque)</t>
        </is>
      </c>
      <c r="B8" s="15" t="n">
        <v>1</v>
      </c>
      <c r="C8" s="10"/>
      <c r="D8" s="10"/>
      <c r="E8" s="10"/>
      <c r="F8" s="10"/>
      <c r="G8" s="10"/>
      <c r="H8" s="10"/>
      <c r="I8" s="10" t="n">
        <v>1</v>
      </c>
      <c r="J8" s="10"/>
      <c r="K8" s="10"/>
      <c r="L8" s="10"/>
      <c r="M8" s="10"/>
      <c r="N8" s="10"/>
      <c r="O8" s="10"/>
      <c r="P8" s="10"/>
      <c r="Q8" s="15" t="n">
        <f aca="false">SUM(C8:P8)</f>
        <v>1</v>
      </c>
    </row>
    <row r="9" customFormat="false" ht="30" hidden="false" customHeight="true" outlineLevel="0" collapsed="false">
      <c r="A9" s="22" t="inlineStr">
        <is>
          <t xml:space="preserve">FS-HU-14 — Pantalla para reservar desde la ficha del profesional y gestionar las reservas</t>
        </is>
      </c>
      <c r="B9" s="15" t="n">
        <v>1</v>
      </c>
      <c r="C9" s="10"/>
      <c r="D9" s="10"/>
      <c r="E9" s="10"/>
      <c r="F9" s="10"/>
      <c r="G9" s="10"/>
      <c r="H9" s="10"/>
      <c r="I9" s="10" t="n">
        <v>1</v>
      </c>
      <c r="J9" s="10"/>
      <c r="K9" s="10"/>
      <c r="L9" s="10"/>
      <c r="M9" s="10"/>
      <c r="N9" s="10"/>
      <c r="O9" s="10"/>
      <c r="P9" s="10"/>
      <c r="Q9" s="15" t="n">
        <f aca="false">SUM(C9:P9)</f>
        <v>1</v>
      </c>
    </row>
    <row r="10" customFormat="false" ht="30" hidden="false" customHeight="true" outlineLevel="0" collapsed="false">
      <c r="A10" s="22" t="inlineStr">
        <is>
          <t xml:space="preserve">FS-HU-14 — Pruebas automatizadas de reservas</t>
        </is>
      </c>
      <c r="B10" s="15" t="n">
        <v>1</v>
      </c>
      <c r="C10" s="10"/>
      <c r="D10" s="10"/>
      <c r="E10" s="10"/>
      <c r="F10" s="10"/>
      <c r="G10" s="10"/>
      <c r="H10" s="10"/>
      <c r="I10" s="10"/>
      <c r="J10" s="10" t="n">
        <v>1</v>
      </c>
      <c r="K10" s="10"/>
      <c r="L10" s="10"/>
      <c r="M10" s="10"/>
      <c r="N10" s="10"/>
      <c r="O10" s="10"/>
      <c r="P10" s="10"/>
      <c r="Q10" s="15" t="n">
        <f aca="false">SUM(C10:P10)</f>
        <v>1</v>
      </c>
    </row>
    <row r="11" customFormat="false" ht="30" hidden="false" customHeight="true" outlineLevel="0" collapsed="false">
      <c r="A11" s="22" t="inlineStr">
        <is>
          <t xml:space="preserve">FS-HU-21 — Diseño común con sesión: encabezado (logo al Inicio, notificaciones y menú de la cuenta), menú lateral y barra inferior</t>
        </is>
      </c>
      <c r="B11" s="15" t="n">
        <v>1</v>
      </c>
      <c r="C11" s="10" t="n">
        <v>1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5" t="n">
        <f aca="false">SUM(C11:P11)</f>
        <v>1</v>
      </c>
    </row>
    <row r="12" customFormat="false" ht="30" hidden="false" customHeight="true" outlineLevel="0" collapsed="false">
      <c r="A12" s="22" t="inlineStr">
        <is>
          <t xml:space="preserve">FS-HU-21 — Pantalla de Inicio según el mockup con datos de la API, estados vacíos y secciones "Próximamente"</t>
        </is>
      </c>
      <c r="B12" s="15" t="n">
        <v>1</v>
      </c>
      <c r="C12" s="10" t="n">
        <v>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5" t="n">
        <f aca="false">SUM(C12:P12)</f>
        <v>1</v>
      </c>
    </row>
    <row r="13" customFormat="false" ht="30" hidden="false" customHeight="true" outlineLevel="0" collapsed="false">
      <c r="A13" s="22" t="inlineStr">
        <is>
          <t xml:space="preserve">FS-HU-21 — Portada pública rediseñada; con sesión la raíz lleva al Inicio y tras iniciar sesión se vuelve a la página pedida</t>
        </is>
      </c>
      <c r="B13" s="15" t="n">
        <v>1</v>
      </c>
      <c r="C13" s="10" t="n">
        <v>1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5" t="n">
        <f aca="false">SUM(C13:P13)</f>
        <v>1</v>
      </c>
    </row>
    <row r="14" customFormat="false" ht="30" hidden="false" customHeight="true" outlineLevel="0" collapsed="false">
      <c r="A14" s="22" t="inlineStr">
        <is>
          <t xml:space="preserve">FS-HU-22 — Migración comuna y modalidad; búsqueda por texto, filtros, orden, total y páginas en GET /api/profesionales y GET /api/profesionales/filtros</t>
        </is>
      </c>
      <c r="B14" s="15" t="n">
        <v>1</v>
      </c>
      <c r="C14" s="10" t="n">
        <v>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5" t="n">
        <f aca="false">SUM(C14:P14)</f>
        <v>1</v>
      </c>
    </row>
    <row r="15" customFormat="false" ht="30" hidden="false" customHeight="true" outlineLevel="0" collapsed="false">
      <c r="A15" s="22" t="inlineStr">
        <is>
          <t xml:space="preserve">FS-HU-22 — Pantalla Profesionales: buscador, panel de filtros (hoja inferior en celular), filtros aplicados, estado en la URL y estados vacíos</t>
        </is>
      </c>
      <c r="B15" s="15" t="n">
        <v>1</v>
      </c>
      <c r="C15" s="10" t="n">
        <v>1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5" t="n">
        <f aca="false">SUM(C15:P15)</f>
        <v>1</v>
      </c>
    </row>
    <row r="16" customFormat="false" ht="30" hidden="false" customHeight="true" outlineLevel="0" collapsed="false">
      <c r="A16" s="22" t="inlineStr">
        <is>
          <t xml:space="preserve">FS-HU-23 — Tabla favoritos, endpoints /api/favoritos, corazón en tarjetas y ficha, y página Favoritos</t>
        </is>
      </c>
      <c r="B16" s="15" t="n">
        <v>1</v>
      </c>
      <c r="C16" s="10" t="n">
        <v>1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5" t="n">
        <f aca="false">SUM(C16:P16)</f>
        <v>1</v>
      </c>
    </row>
    <row r="17" customFormat="false" ht="30" hidden="false" customHeight="true" outlineLevel="0" collapsed="false">
      <c r="A17" s="22" t="inlineStr">
        <is>
          <t xml:space="preserve">FS-HU-24 — Tabla resenas y endpoints de reseñas (una por usuario y profesional; solo cuentas de usuario)</t>
        </is>
      </c>
      <c r="B17" s="15" t="n">
        <v>1</v>
      </c>
      <c r="C17" s="10" t="n">
        <v>1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5" t="n">
        <f aca="false">SUM(C17:P17)</f>
        <v>1</v>
      </c>
    </row>
    <row r="18" customFormat="false" ht="30" hidden="false" customHeight="true" outlineLevel="0" collapsed="false">
      <c r="A18" s="22" t="inlineStr">
        <is>
          <t xml:space="preserve">FS-HU-24 — Ficha del profesional con resumen de calificaciones, formulario de reseña y reseñas paginadas</t>
        </is>
      </c>
      <c r="B18" s="15" t="n">
        <v>1</v>
      </c>
      <c r="C18" s="10" t="n">
        <v>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5" t="n">
        <f aca="false">SUM(C18:P18)</f>
        <v>1</v>
      </c>
    </row>
    <row r="19" customFormat="false" ht="30" hidden="false" customHeight="true" outlineLevel="0" collapsed="false">
      <c r="A19" s="22" t="inlineStr">
        <is>
          <t xml:space="preserve">FS-HU-21 a FS-HU-24 — Pruebas automatizadas (backend 129, frontend 100), casos CP-036 a CP-049 y capturas del sistema del Sprint 3</t>
        </is>
      </c>
      <c r="B19" s="15" t="n">
        <v>1</v>
      </c>
      <c r="C19" s="10" t="n">
        <v>1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5" t="n">
        <f aca="false">SUM(C19:P19)</f>
        <v>1</v>
      </c>
    </row>
    <row r="20" customFormat="false" ht="30" hidden="false" customHeight="true" outlineLevel="0" collapsed="false">
      <c r="A20" s="22" t="inlineStr">
        <is>
          <t xml:space="preserve">FS-HU-21 a FS-HU-24 — Revisión de código y PR de las historias del Sprint 3 (DoD)</t>
        </is>
      </c>
      <c r="B20" s="15" t="n">
        <v>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5" t="n">
        <f aca="false">SUM(C20:P20)</f>
        <v>0</v>
      </c>
    </row>
    <row r="21" customFormat="false" ht="30" hidden="false" customHeight="true" outlineLevel="0" collapsed="false">
      <c r="A21" s="22" t="inlineStr">
        <is>
          <t xml:space="preserve">FS-HU-13 — Crear la tabla disponibilidades y sus endpoints; validar bloques superpuestos.</t>
        </is>
      </c>
      <c r="B21" s="15" t="n">
        <v>1</v>
      </c>
      <c r="C21" s="10"/>
      <c r="D21" s="10"/>
      <c r="E21" s="10"/>
      <c r="F21" s="10"/>
      <c r="G21" s="10"/>
      <c r="H21" s="10"/>
      <c r="I21" s="10" t="n">
        <v>1</v>
      </c>
      <c r="J21" s="10"/>
      <c r="K21" s="10"/>
      <c r="L21" s="10"/>
      <c r="M21" s="10"/>
      <c r="N21" s="10"/>
      <c r="O21" s="10"/>
      <c r="P21" s="10"/>
      <c r="Q21" s="15" t="n">
        <f aca="false">SUM(C21:P21)</f>
        <v>1</v>
      </c>
    </row>
    <row r="22" customFormat="false" ht="30" hidden="false" customHeight="true" outlineLevel="0" collapsed="false">
      <c r="A22" s="22" t="inlineStr">
        <is>
          <t xml:space="preserve">FS-HU-13 — Construir la pantalla de gestión de horarios (Frontend).</t>
        </is>
      </c>
      <c r="B22" s="15" t="n">
        <v>1</v>
      </c>
      <c r="C22" s="10"/>
      <c r="D22" s="10"/>
      <c r="E22" s="10"/>
      <c r="F22" s="10"/>
      <c r="G22" s="10"/>
      <c r="H22" s="10"/>
      <c r="I22" s="10" t="n">
        <v>1</v>
      </c>
      <c r="J22" s="10"/>
      <c r="K22" s="10"/>
      <c r="L22" s="10"/>
      <c r="M22" s="10"/>
      <c r="N22" s="10"/>
      <c r="O22" s="10"/>
      <c r="P22" s="10"/>
      <c r="Q22" s="15" t="n">
        <f aca="false">SUM(C22:P22)</f>
        <v>1</v>
      </c>
    </row>
    <row r="23" customFormat="false" ht="30" hidden="false" customHeight="true" outlineLevel="0" collapsed="false">
      <c r="A23" s="22" t="inlineStr">
        <is>
          <t xml:space="preserve">FS-HU-13 — Pruebas automatizadas de disponibilidad.</t>
        </is>
      </c>
      <c r="B23" s="15" t="n">
        <v>1</v>
      </c>
      <c r="C23" s="10"/>
      <c r="D23" s="10"/>
      <c r="E23" s="10"/>
      <c r="F23" s="10"/>
      <c r="G23" s="10"/>
      <c r="H23" s="10"/>
      <c r="I23" s="10"/>
      <c r="J23" s="10" t="n">
        <v>1</v>
      </c>
      <c r="K23" s="10"/>
      <c r="L23" s="10"/>
      <c r="M23" s="10"/>
      <c r="N23" s="10"/>
      <c r="O23" s="10"/>
      <c r="P23" s="10"/>
      <c r="Q23" s="15" t="n">
        <f aca="false">SUM(C23:P23)</f>
        <v>1</v>
      </c>
    </row>
    <row r="24" customFormat="false" ht="30" hidden="false" customHeight="true" outlineLevel="0" collapsed="false">
      <c r="A24" s="22" t="inlineStr">
        <is>
          <t xml:space="preserve">FS-HU-13 — Revisión posterior del PR #13: elección de rol, sesión y espacio profesional.</t>
        </is>
      </c>
      <c r="B24" s="15" t="n">
        <v>1</v>
      </c>
      <c r="C24" s="10"/>
      <c r="D24" s="10"/>
      <c r="E24" s="10"/>
      <c r="F24" s="10"/>
      <c r="G24" s="10"/>
      <c r="H24" s="10" t="n">
        <v>1</v>
      </c>
      <c r="I24" s="10"/>
      <c r="J24" s="10"/>
      <c r="K24" s="10"/>
      <c r="L24" s="10"/>
      <c r="M24" s="10"/>
      <c r="N24" s="10"/>
      <c r="O24" s="10"/>
      <c r="P24" s="10"/>
      <c r="Q24" s="15" t="n">
        <f aca="false">SUM(C24:P24)</f>
        <v>1</v>
      </c>
    </row>
    <row r="25" customFormat="false" ht="30" hidden="false" customHeight="true" outlineLevel="0" collapsed="false">
      <c r="A25" s="22" t="inlineStr">
        <is>
          <t xml:space="preserve">FS-HU-04 — Corregir el PR #11 para fusionarlo con main sin perder la búsqueda, la ficha ni las reseñas (endpoints GET/PUT /api/profesionales/mi-ficha)</t>
        </is>
      </c>
      <c r="B25" s="15" t="n">
        <v>3</v>
      </c>
      <c r="C25" s="10"/>
      <c r="D25" s="10"/>
      <c r="E25" s="10" t="n">
        <v>2</v>
      </c>
      <c r="F25" s="10" t="n">
        <v>1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5" t="n">
        <f aca="false">SUM(C25:P25)</f>
        <v>3</v>
      </c>
    </row>
    <row r="26" customFormat="false" ht="30" hidden="false" customHeight="true" outlineLevel="0" collapsed="false">
      <c r="A26" s="22" t="inlineStr">
        <is>
          <t xml:space="preserve">FS-HU-04 — Pantalla del perfil profesional (Frontend) integrada con la navegación actual</t>
        </is>
      </c>
      <c r="B26" s="15" t="n">
        <v>7</v>
      </c>
      <c r="C26" s="10"/>
      <c r="D26" s="10"/>
      <c r="E26" s="10" t="n">
        <v>5</v>
      </c>
      <c r="F26" s="10" t="n">
        <v>2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5" t="n">
        <f aca="false">SUM(C26:P26)</f>
        <v>7</v>
      </c>
    </row>
    <row r="27" customFormat="false" ht="30" hidden="false" customHeight="true" outlineLevel="0" collapsed="false">
      <c r="A27" s="22" t="inlineStr">
        <is>
          <t xml:space="preserve">FS-HU-04 — Pruebas automatizadas del perfil profesional y revisión del PR</t>
        </is>
      </c>
      <c r="B27" s="15" t="n">
        <v>1</v>
      </c>
      <c r="C27" s="10"/>
      <c r="D27" s="10"/>
      <c r="E27" s="10" t="n">
        <v>1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5" t="n">
        <f aca="false">SUM(C27:P27)</f>
        <v>1</v>
      </c>
    </row>
    <row r="28" customFormat="false" ht="30" hidden="false" customHeight="true" outlineLevel="0" collapsed="false">
      <c r="A28" s="22" t="inlineStr">
        <is>
          <t xml:space="preserve">FS-HU-15 — Configurar la cuenta de correo del proyecto (SMTP con contraseña de aplicación) para el envío real del enlace</t>
        </is>
      </c>
      <c r="B28" s="15" t="n">
        <v>1</v>
      </c>
      <c r="C28" s="10"/>
      <c r="D28" s="10"/>
      <c r="E28" s="10"/>
      <c r="F28" s="10"/>
      <c r="G28" s="10"/>
      <c r="H28" s="10"/>
      <c r="I28" s="10"/>
      <c r="J28" s="10" t="n">
        <v>1</v>
      </c>
      <c r="K28" s="10"/>
      <c r="L28" s="10"/>
      <c r="M28" s="10"/>
      <c r="N28" s="10"/>
      <c r="O28" s="10"/>
      <c r="P28" s="10"/>
      <c r="Q28" s="15" t="n">
        <f aca="false">SUM(C28:P28)</f>
        <v>1</v>
      </c>
    </row>
    <row r="29" customFormat="false" ht="30" hidden="false" customHeight="true" outlineLevel="0" collapsed="false">
      <c r="A29" s="22" t="inlineStr">
        <is>
          <t xml:space="preserve">FS-HU-12 — Verificación de profesionales: endpoint de verificación, solicitudes con documentos y panel del administrador (Dashboard, Profesionales, Verificaciones, Usuarios y Reportes)</t>
        </is>
      </c>
      <c r="B29" s="15" t="n">
        <v>6</v>
      </c>
      <c r="C29" s="10"/>
      <c r="D29" s="10"/>
      <c r="E29" s="10"/>
      <c r="F29" s="10"/>
      <c r="G29" s="10" t="n">
        <v>3</v>
      </c>
      <c r="H29" s="10" t="n">
        <v>2</v>
      </c>
      <c r="I29" s="10" t="n">
        <v>1</v>
      </c>
      <c r="J29" s="10"/>
      <c r="K29" s="10"/>
      <c r="L29" s="10"/>
      <c r="M29" s="10"/>
      <c r="N29" s="10"/>
      <c r="O29" s="10"/>
      <c r="P29" s="10"/>
      <c r="Q29" s="15" t="n">
        <f aca="false">SUM(C29:P29)</f>
        <v>6</v>
      </c>
    </row>
    <row r="30" customFormat="false" ht="30" hidden="false" customHeight="true" outlineLevel="0" collapsed="false">
      <c r="A30" s="22" t="inlineStr">
        <is>
          <t xml:space="preserve">FS-HU-12 — Pruebas automatizadas y comprobaciones con MySQL real de la verificación y del panel</t>
        </is>
      </c>
      <c r="B30" s="15" t="n">
        <v>1</v>
      </c>
      <c r="C30" s="10"/>
      <c r="D30" s="10"/>
      <c r="E30" s="10"/>
      <c r="F30" s="10"/>
      <c r="G30" s="10"/>
      <c r="H30" s="10" t="n">
        <v>1</v>
      </c>
      <c r="I30" s="10"/>
      <c r="J30" s="10"/>
      <c r="K30" s="10"/>
      <c r="L30" s="10"/>
      <c r="M30" s="10"/>
      <c r="N30" s="10"/>
      <c r="O30" s="10"/>
      <c r="P30" s="10"/>
      <c r="Q30" s="15" t="n">
        <f aca="false">SUM(C30:P30)</f>
        <v>1</v>
      </c>
    </row>
    <row r="31" customFormat="false" ht="30" hidden="false" customHeight="true" outlineLevel="0" collapsed="false">
      <c r="A31" s="22" t="inlineStr">
        <is>
          <t xml:space="preserve">Sprint 3 — Cerrar la documentación del Sprint 2: horas reales, burndown, Documento Sprint Backlog 2 y Documento Validando Sprint 2</t>
        </is>
      </c>
      <c r="B31" s="15" t="n">
        <v>4</v>
      </c>
      <c r="C31" s="10"/>
      <c r="D31" s="10" t="n">
        <v>4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5" t="n">
        <f aca="false">SUM(C31:P31)</f>
        <v>4</v>
      </c>
    </row>
    <row r="32" customFormat="false" ht="30" hidden="false" customHeight="true" outlineLevel="0" collapsed="false">
      <c r="A32" s="22" t="inlineStr">
        <is>
          <t xml:space="preserve">Sprint 3 — Documentar el flujo del profesional: DAS v1.15, casos CP-050 a CP-060, defectos 15 a 24 y capturas</t>
        </is>
      </c>
      <c r="B32" s="15" t="n">
        <v>2</v>
      </c>
      <c r="C32" s="10"/>
      <c r="D32" s="10"/>
      <c r="E32" s="10"/>
      <c r="F32" s="10" t="n">
        <v>2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5" t="n">
        <f aca="false">SUM(C32:P32)</f>
        <v>2</v>
      </c>
    </row>
    <row r="33" customFormat="false" ht="30" hidden="false" customHeight="true" outlineLevel="0" collapsed="false">
      <c r="A33" s="22" t="inlineStr">
        <is>
          <t xml:space="preserve">Sprint 3 — Revisar el código de los PR del Sprint 3 (#12, #14, #15, #16, #19, #20, #21 y #22) antes de fusionarlos</t>
        </is>
      </c>
      <c r="B33" s="15" t="n">
        <v>8</v>
      </c>
      <c r="C33" s="10"/>
      <c r="D33" s="10"/>
      <c r="E33" s="10" t="n">
        <v>1</v>
      </c>
      <c r="F33" s="10"/>
      <c r="G33" s="10" t="n">
        <v>1</v>
      </c>
      <c r="H33" s="10" t="n">
        <v>2</v>
      </c>
      <c r="I33" s="10" t="n">
        <v>3</v>
      </c>
      <c r="J33" s="10" t="n">
        <v>1</v>
      </c>
      <c r="K33" s="10"/>
      <c r="L33" s="10"/>
      <c r="M33" s="10"/>
      <c r="N33" s="10"/>
      <c r="O33" s="10"/>
      <c r="P33" s="10"/>
      <c r="Q33" s="15" t="n">
        <f aca="false">SUM(C33:P33)</f>
        <v>8</v>
      </c>
    </row>
    <row r="34" customFormat="false" ht="30" hidden="false" customHeight="true" outlineLevel="0" collapsed="false">
      <c r="A34" s="22" t="inlineStr">
        <is>
          <t xml:space="preserve">Sprint 3 — Estandarizar el tablero de Trello con una de las plantillas Scrum del docente (listas, etiquetas de sprint y épica, tarjetas de las historias)</t>
        </is>
      </c>
      <c r="B34" s="15" t="n">
        <v>3</v>
      </c>
      <c r="C34" s="10"/>
      <c r="D34" s="10"/>
      <c r="E34" s="10"/>
      <c r="F34" s="10" t="n">
        <v>3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5" t="n">
        <f aca="false">SUM(C34:P34)</f>
        <v>3</v>
      </c>
    </row>
    <row r="35" customFormat="false" ht="30" hidden="false" customHeight="true" outlineLevel="0" collapsed="false">
      <c r="A35" s="22" t="inlineStr">
        <is>
          <t xml:space="preserve">Sprint 3 — Actualizar el DAS (versiones 1.16 a 1.22), los diagramas del Sprint 3 y las exportaciones del tablero Miro</t>
        </is>
      </c>
      <c r="B35" s="15" t="n">
        <v>2</v>
      </c>
      <c r="C35" s="10"/>
      <c r="D35" s="10"/>
      <c r="E35" s="10"/>
      <c r="F35" s="10"/>
      <c r="G35" s="10"/>
      <c r="H35" s="10" t="n">
        <v>1</v>
      </c>
      <c r="I35" s="10"/>
      <c r="J35" s="10"/>
      <c r="K35" s="10"/>
      <c r="L35" s="10"/>
      <c r="M35" s="10"/>
      <c r="N35" s="10"/>
      <c r="O35" s="10"/>
      <c r="P35" s="10"/>
      <c r="Q35" s="15" t="n">
        <f aca="false">SUM(C35:P35)</f>
        <v>1</v>
      </c>
    </row>
    <row r="36" customFormat="false" ht="30" hidden="false" customHeight="true" outlineLevel="0" collapsed="false">
      <c r="A36" s="22" t="inlineStr">
        <is>
          <t xml:space="preserve">Sprint 3 — Corregir el límite de reservas para no contar las citas pasadas (defecto 26) y ajustes de la revisión del PR #22</t>
        </is>
      </c>
      <c r="B36" s="15" t="n">
        <v>1</v>
      </c>
      <c r="C36" s="10"/>
      <c r="D36" s="10"/>
      <c r="E36" s="10"/>
      <c r="F36" s="10"/>
      <c r="G36" s="10"/>
      <c r="H36" s="10"/>
      <c r="I36" s="10"/>
      <c r="J36" s="10" t="n">
        <v>1</v>
      </c>
      <c r="K36" s="10"/>
      <c r="L36" s="10"/>
      <c r="M36" s="10"/>
      <c r="N36" s="10"/>
      <c r="O36" s="10"/>
      <c r="P36" s="10"/>
      <c r="Q36" s="15" t="n">
        <f aca="false">SUM(C36:P36)</f>
        <v>1</v>
      </c>
    </row>
    <row r="37" customFormat="false" ht="30" hidden="false" customHeight="true" outlineLevel="0" collapsed="false">
      <c r="A37" s="22" t="inlineStr">
        <is>
          <t xml:space="preserve">Sprint 3 — Documentación y sincronización: subida al Drive, conciliación de backlogs, decisiones del PO, casos CP-069 a CP-080, defectos 25 y 26, Guía 2.4, control y Trello</t>
        </is>
      </c>
      <c r="B37" s="15" t="n">
        <v>6</v>
      </c>
      <c r="C37" s="10"/>
      <c r="D37" s="10"/>
      <c r="E37" s="10"/>
      <c r="F37" s="10"/>
      <c r="G37" s="10" t="n">
        <v>3</v>
      </c>
      <c r="H37" s="10"/>
      <c r="I37" s="10"/>
      <c r="J37" s="10" t="n">
        <v>3</v>
      </c>
      <c r="K37" s="10"/>
      <c r="L37" s="10"/>
      <c r="M37" s="10"/>
      <c r="N37" s="10"/>
      <c r="O37" s="10"/>
      <c r="P37" s="10"/>
      <c r="Q37" s="15" t="n">
        <f aca="false">SUM(C37:P37)</f>
        <v>6</v>
      </c>
    </row>
    <row r="39" customFormat="false" ht="30" hidden="false" customHeight="true" outlineLevel="0" collapsed="false">
      <c r="A39" s="23" t="inlineStr">
        <is>
          <t xml:space="preserve">Reales de producto por realizar</t>
        </is>
      </c>
      <c r="B39" s="3" t="n">
        <f aca="false">SUM(B5:B37)</f>
        <v>65</v>
      </c>
      <c r="C39" s="15" t="n">
        <f aca="false">B39-SUM(C5:C37)</f>
        <v>55</v>
      </c>
      <c r="D39" s="15" t="n">
        <f aca="false">C39-SUM(D5:D37)</f>
        <v>51</v>
      </c>
      <c r="E39" s="15" t="n">
        <f aca="false">D39-SUM(E5:E37)</f>
        <v>42</v>
      </c>
      <c r="F39" s="15" t="n">
        <f aca="false">E39-SUM(F5:F37)</f>
        <v>34</v>
      </c>
      <c r="G39" s="15" t="n">
        <f aca="false">F39-SUM(G5:G37)</f>
        <v>27</v>
      </c>
      <c r="H39" s="15" t="n">
        <f aca="false">G39-SUM(H5:H37)</f>
        <v>20</v>
      </c>
      <c r="I39" s="15" t="n">
        <f aca="false">H39-SUM(I5:I37)</f>
        <v>12</v>
      </c>
      <c r="J39" s="15" t="n">
        <f aca="false">I39-SUM(J5:J37)</f>
        <v>2</v>
      </c>
      <c r="K39" s="15"/>
      <c r="L39" s="15"/>
      <c r="M39" s="15"/>
      <c r="N39" s="15"/>
      <c r="O39" s="15"/>
      <c r="P39" s="15"/>
    </row>
    <row r="41" customFormat="false" ht="15" hidden="false" customHeight="true" outlineLevel="0" collapsed="false">
      <c r="A41" s="3" t="inlineStr">
        <is>
          <t xml:space="preserve">Estimadas de producto por realizar (línea ideal)</t>
        </is>
      </c>
      <c r="B41" s="24" t="n">
        <f aca="false">SUM(B5:B37)</f>
        <v>65</v>
      </c>
      <c r="C41" s="15" t="n">
        <f aca="false">B41-(SUM($B$5:$B$37)/14)</f>
        <v>60.3571</v>
      </c>
      <c r="D41" s="15" t="n">
        <f aca="false">C41-(SUM($B$5:$B$37)/14)</f>
        <v>55.7143</v>
      </c>
      <c r="E41" s="15" t="n">
        <f aca="false">D41-(SUM($B$5:$B$37)/14)</f>
        <v>51.0714</v>
      </c>
      <c r="F41" s="15" t="n">
        <f aca="false">E41-(SUM($B$5:$B$37)/14)</f>
        <v>46.4286</v>
      </c>
      <c r="G41" s="15" t="n">
        <f aca="false">F41-(SUM($B$5:$B$37)/14)</f>
        <v>41.7857</v>
      </c>
      <c r="H41" s="15" t="n">
        <f aca="false">G41-(SUM($B$5:$B$37)/14)</f>
        <v>37.1429</v>
      </c>
      <c r="I41" s="15" t="n">
        <f aca="false">H41-(SUM($B$5:$B$37)/14)</f>
        <v>32.5</v>
      </c>
      <c r="J41" s="15" t="n">
        <f aca="false">I41-(SUM($B$5:$B$37)/14)</f>
        <v>27.8571</v>
      </c>
      <c r="K41" s="15" t="n">
        <f aca="false">J41-(SUM($B$5:$B$37)/14)</f>
        <v>23.2143</v>
      </c>
      <c r="L41" s="15" t="n">
        <f aca="false">K41-(SUM($B$5:$B$37)/14)</f>
        <v>18.5714</v>
      </c>
      <c r="M41" s="15" t="n">
        <f aca="false">L41-(SUM($B$5:$B$37)/14)</f>
        <v>13.9286</v>
      </c>
      <c r="N41" s="15" t="n">
        <f aca="false">M41-(SUM($B$5:$B$37)/14)</f>
        <v>9.2857</v>
      </c>
      <c r="O41" s="15" t="n">
        <f aca="false">N41-(SUM($B$5:$B$37)/14)</f>
        <v>4.6429</v>
      </c>
      <c r="P41" s="15" t="n">
        <f aca="false">O41-(SUM($B$5:$B$37)/14)</f>
        <v>0</v>
      </c>
    </row>
    <row r="43" customFormat="false" ht="15" hidden="false" customHeight="true" outlineLevel="0" collapsed="false">
      <c r="A43" s="26" t="inlineStr">
        <is>
          <t xml:space="preserve">Nota: burndown del Sprint 3 (semanas 9 y 10, del 05-10-2026 al 18-10-2026; día 1 = 05-10-2026), con el avance al 12-10-2026 (día 8). 33 tareas con 65 h estimadas. Horas registradas el 12-10-2026 según el trabajo entregado en GitHub (commits, pull requests y revisiones de cada integrante), con un máximo de 5 h por persona y día: Rodrigo Cárcamo Rojas 37 h, Luis Méndez 23 h y Nicolás Silva 3 h (63 h en total). Las tareas de FS-HU-05 y FS-HU-21 a FS-HU-24 se implementaron el 02 y 03-10-2026, antes del inicio (10 h), y se registran en el día 1. Quedan 2 h: CP-078 con el mapa real sobre main y los marcos de Miro del DAS 1.22.</t>
        </is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</row>
    <row r="44" customFormat="false" ht="15" hidden="false" customHeight="true" outlineLevel="0" collapsed="false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customFormat="false" ht="15" hidden="false" customHeight="true" outlineLevel="0" collapsed="false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customFormat="false" ht="15" hidden="false" customHeight="true" outlineLevel="0" collapsed="false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</sheetData>
  <mergeCells count="4">
    <mergeCell ref="A3:A4"/>
    <mergeCell ref="B3:B4"/>
    <mergeCell ref="C3:P3"/>
    <mergeCell ref="A43:P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  <dc:description/>
  <dc:language>en-US</dc:language>
  <cp:lastModifiedBy/>
  <dcterms:modified xsi:type="dcterms:W3CDTF">2026-10-12T00:00:00Z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