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olor theme="1"/>
      <sz val="11"/>
    </font>
    <font>
      <name val="Arial"/>
      <sz val="10"/>
    </font>
    <font>
      <name val="Arial"/>
      <sz val="10"/>
    </font>
    <font>
      <name val="Arial"/>
      <sz val="10"/>
    </font>
    <font>
      <name val="Calibri"/>
      <color theme="1"/>
      <sz val="11"/>
    </font>
    <font>
      <name val="Calibri"/>
      <b val="1"/>
      <color theme="1"/>
      <sz val="22"/>
    </font>
    <font>
      <name val="Calibri"/>
      <b val="1"/>
      <color rgb="FF1F497D"/>
      <sz val="16"/>
    </font>
    <font>
      <name val="Calibri"/>
      <color theme="0"/>
      <sz val="11"/>
    </font>
  </fonts>
  <fills count="6">
    <fill>
      <patternFill/>
    </fill>
    <fill>
      <patternFill patternType="gray125"/>
    </fill>
    <fill>
      <patternFill patternType="solid">
        <fgColor theme="0"/>
      </patternFill>
    </fill>
    <fill>
      <patternFill patternType="solid">
        <fgColor rgb="FF1F497D"/>
      </patternFill>
    </fill>
    <fill>
      <patternFill patternType="solid">
        <fgColor rgb="FFD6E3BC"/>
      </patternFill>
    </fill>
    <fill>
      <patternFill patternType="solid">
        <fgColor rgb="FFB8CCE4"/>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cellStyle name="Comma" xfId="1"/>
    <cellStyle name="Comma [0]" xfId="2"/>
    <cellStyle name="Currency" xfId="3"/>
    <cellStyle name="Currency [0]" xfId="4"/>
    <cellStyle name="Percent" xf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Q1000"/>
  <sheetViews>
    <sheetView showGridLines="1" workbookViewId="0">
      <pane xSplit="6" ySplit="5" topLeftCell="G6" activePane="bottomRight" state="frozen"/>
      <selection activeCell="A1" sqref="A1"/>
    </sheetView>
  </sheetViews>
  <sheetFormatPr baseColWidth="8" defaultColWidth="12.6328125" defaultRowHeight="15"/>
  <cols>
    <col width="1.25" customWidth="1" style="12" min="1" max="1"/>
    <col width="14.38000011444092" customWidth="1" style="12" min="2" max="2"/>
    <col width="29.75" customWidth="1" style="12" min="3" max="3"/>
    <col width="18.25" customWidth="1" style="12" min="4" max="4"/>
    <col width="9.130000114440918" customWidth="1" style="12" min="5" max="5"/>
    <col width="10.38000011444092" customWidth="1" style="12" min="6" max="6"/>
    <col width="13.5" customWidth="1" style="12" min="7" max="7"/>
    <col width="5.130000114440918" customWidth="1" style="12" min="8" max="8"/>
    <col width="4.75" customWidth="1" style="12" min="9" max="9"/>
    <col width="2.380000114440918" customWidth="1" style="12" min="10" max="10"/>
    <col width="5.130000114440918" customWidth="1" style="12" min="11" max="11"/>
    <col width="4.75" customWidth="1" style="12" min="12" max="12"/>
    <col width="2.380000114440918" customWidth="1" style="12" min="13" max="13"/>
    <col width="5.130000114440918" customWidth="1" style="12" min="14" max="14"/>
    <col width="4.75" customWidth="1" style="12" min="15" max="15"/>
    <col width="2.380000114440918" customWidth="1" style="12" min="16" max="16"/>
    <col width="5.130000114440918" customWidth="1" style="12" min="17" max="17"/>
    <col width="4.75" customWidth="1" style="12" min="18" max="18"/>
    <col width="2.380000114440918" customWidth="1" style="12" min="19" max="19"/>
    <col width="5.130000114440918" customWidth="1" style="12" min="20" max="20"/>
    <col width="4.75" customWidth="1" style="12" min="21" max="21"/>
    <col width="2.380000114440918" customWidth="1" style="12" min="22" max="22"/>
    <col width="5.130000114440918" customWidth="1" style="12" min="23" max="23"/>
    <col width="4.75" customWidth="1" style="12" min="24" max="24"/>
    <col width="2.380000114440918" customWidth="1" style="12" min="25" max="25"/>
    <col width="5.130000114440918" customWidth="1" style="12" min="26" max="26"/>
    <col width="4.75" customWidth="1" style="12" min="27" max="27"/>
    <col width="2.380000114440918" customWidth="1" style="12" min="28" max="28"/>
    <col width="5.130000114440918" customWidth="1" style="12" min="29" max="29"/>
    <col width="4.75" customWidth="1" style="12" min="30" max="30"/>
    <col width="2.380000114440918" customWidth="1" style="12" min="31" max="31"/>
    <col width="5.130000114440918" customWidth="1" style="12" min="32" max="32"/>
    <col width="4.75" customWidth="1" style="12" min="33" max="33"/>
    <col width="2.380000114440918" customWidth="1" style="12" min="34" max="34"/>
    <col width="5.130000114440918" customWidth="1" style="12" min="35" max="35"/>
    <col width="4.75" customWidth="1" style="12" min="36" max="36"/>
    <col width="2.380000114440918" customWidth="1" style="12" min="37" max="37"/>
    <col width="5.130000114440918" customWidth="1" style="12" min="38" max="38"/>
    <col width="4.75" customWidth="1" style="12" min="39" max="39"/>
    <col width="2.380000114440918" customWidth="1" style="12" min="40" max="40"/>
    <col width="5.130000114440918" customWidth="1" style="12" min="41" max="41"/>
    <col width="4.75" customWidth="1" style="12" min="42" max="42"/>
    <col width="2.380000114440918" customWidth="1" style="12" min="43" max="43"/>
    <col width="5.130000114440918" customWidth="1" style="12" min="44" max="44"/>
    <col width="4.75" customWidth="1" style="12" min="45" max="45"/>
    <col width="2.380000114440918" customWidth="1" style="12" min="46" max="46"/>
    <col width="5.130000114440918" customWidth="1" style="12" min="47" max="47"/>
    <col width="4.75" customWidth="1" style="12" min="48" max="48"/>
    <col width="2.380000114440918" customWidth="1" style="12" min="49" max="49"/>
    <col width="5.130000114440918" customWidth="1" style="12" min="50" max="50"/>
    <col width="4.75" customWidth="1" style="12" min="51" max="51"/>
    <col width="2.380000114440918" customWidth="1" style="12" min="52" max="52"/>
    <col width="5.130000114440918" customWidth="1" style="12" min="53" max="53"/>
    <col width="4.75" customWidth="1" style="12" min="54" max="54"/>
    <col width="2.380000114440918" customWidth="1" style="12" min="55" max="55"/>
    <col width="5.130000114440918" customWidth="1" style="12" min="56" max="56"/>
    <col width="4.75" customWidth="1" style="12" min="57" max="57"/>
    <col width="2.380000114440918" customWidth="1" style="12" min="58" max="58"/>
    <col width="5.130000114440918" customWidth="1" style="12" min="59" max="59"/>
    <col width="4.75" customWidth="1" style="12" min="60" max="60"/>
    <col width="2.380000114440918" customWidth="1" style="12" min="61" max="61"/>
    <col width="5.130000114440918" customWidth="1" style="12" min="62" max="62"/>
    <col width="4.75" customWidth="1" style="12" min="63" max="63"/>
    <col width="2.380000114440918" customWidth="1" style="12" min="64" max="64"/>
    <col width="5.130000114440918" customWidth="1" style="12" min="65" max="65"/>
    <col width="4.75" customWidth="1" style="12" min="66" max="66"/>
    <col width="2.380000114440918" customWidth="1" style="12" min="67" max="67"/>
    <col width="5.130000114440918" customWidth="1" style="12" min="68" max="68"/>
    <col width="4.75" customWidth="1" style="12" min="69" max="69"/>
  </cols>
  <sheetData>
    <row r="1" ht="26.79999923706055" customHeight="1" s="13">
      <c r="A1" s="14" t="n"/>
      <c r="B1" s="15" t="inlineStr">
        <is>
          <t>Metodologías ágiles: Lista de tareas de la iteración — Sprint 3 (semanas 9 y 10, del 05-10-2026 al 18-10-2026; día 1 = 05-10-2026)</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79999923706055"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0000076293945"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y probado el 03-10-2026, antes del inicio del sprint; revisado y fusionado en el PR #10; falta la aceptación del Product Owner</t>
        </is>
      </c>
      <c r="G6" s="21" t="n">
        <v>3</v>
      </c>
      <c r="H6" s="22" t="n">
        <v>3</v>
      </c>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125"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Luis Méndez</t>
        </is>
      </c>
      <c r="F7" s="21" t="inlineStr">
        <is>
          <t>Implementado: PR #21 y #22 (12-10-2026); mapa real probado. Pendiente: CP-078 sobre main (1 h) y aceptación del PO.</t>
        </is>
      </c>
      <c r="G7" s="21" t="n">
        <v>4</v>
      </c>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v>1</v>
      </c>
      <c r="AA7" s="22">
        <f>X7-Z7</f>
        <v/>
      </c>
      <c r="AB7" s="23" t="n"/>
      <c r="AC7" s="22" t="n">
        <v>2</v>
      </c>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125" customHeight="1" s="13">
      <c r="A8" s="14" t="n"/>
      <c r="B8" s="21" t="n"/>
      <c r="C8" s="21" t="n"/>
      <c r="D8" s="21" t="inlineStr">
        <is>
          <t>Pruebas automatizadas de la vista de mapa y lista</t>
        </is>
      </c>
      <c r="E8" s="21" t="inlineStr">
        <is>
          <t>Luis Méndez</t>
        </is>
      </c>
      <c r="F8" s="21" t="inlineStr">
        <is>
          <t>Implementado: PR #21 y #22 (12-10-2026); mapa real probado. Pendiente: CP-078 y aceptación del PO.</t>
        </is>
      </c>
      <c r="G8" s="21" t="n">
        <v>1</v>
      </c>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v>1</v>
      </c>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125"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Luis Méndez</t>
        </is>
      </c>
      <c r="F9" s="21" t="inlineStr">
        <is>
          <t>Implementado: PR #21 y #22 (12-10-2026); probado con MySQL real. Pendiente de aceptación del PO.</t>
        </is>
      </c>
      <c r="G9" s="21" t="n">
        <v>3</v>
      </c>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v>2</v>
      </c>
      <c r="AA9" s="22">
        <f>X9-Z9</f>
        <v/>
      </c>
      <c r="AB9" s="23" t="n"/>
      <c r="AC9" s="22" t="n">
        <v>1</v>
      </c>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125" customHeight="1" s="13">
      <c r="A10" s="14" t="n"/>
      <c r="B10" s="21" t="n"/>
      <c r="C10" s="21" t="n"/>
      <c r="D10" s="21" t="inlineStr">
        <is>
          <t>Pantalla para reservar desde la ficha del profesional y gestionar las reservas</t>
        </is>
      </c>
      <c r="E10" s="21" t="inlineStr">
        <is>
          <t>Luis Méndez</t>
        </is>
      </c>
      <c r="F10" s="21" t="inlineStr">
        <is>
          <t>Implementado: PR #21 y #22 (12-10-2026); probado con MySQL real. Pendiente de aceptación del PO.</t>
        </is>
      </c>
      <c r="G10" s="21" t="n">
        <v>3</v>
      </c>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v>2</v>
      </c>
      <c r="AA10" s="22">
        <f>X10-Z10</f>
        <v/>
      </c>
      <c r="AB10" s="23" t="n"/>
      <c r="AC10" s="22" t="n">
        <v>1</v>
      </c>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125" customHeight="1" s="13">
      <c r="A11" s="14" t="n"/>
      <c r="B11" s="21" t="n"/>
      <c r="C11" s="21" t="n"/>
      <c r="D11" s="21" t="inlineStr">
        <is>
          <t>Pruebas automatizadas de reservas</t>
        </is>
      </c>
      <c r="E11" s="21" t="inlineStr">
        <is>
          <t>Luis Méndez</t>
        </is>
      </c>
      <c r="F11" s="21" t="inlineStr">
        <is>
          <t>Implementado: PR #21 y #22 (12-10-2026); probado con MySQL real. Pendiente de aceptación del PO.</t>
        </is>
      </c>
      <c r="G11" s="21" t="n">
        <v>2</v>
      </c>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v>1</v>
      </c>
      <c r="AA11" s="22">
        <f>X11-Z11</f>
        <v/>
      </c>
      <c r="AB11" s="23" t="n"/>
      <c r="AC11" s="22" t="n">
        <v>1</v>
      </c>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y probado el 03-10-2026, antes del inicio del sprint; revisado y fusionado en el PR #10; falta la aceptación del Product Owner</t>
        </is>
      </c>
      <c r="G12" s="21" t="n">
        <v>3</v>
      </c>
      <c r="H12" s="22" t="n">
        <v>3</v>
      </c>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y probado el 03-10-2026, antes del inicio del sprint; revisado y fusionado en el PR #10; falta la aceptación del Product Owner</t>
        </is>
      </c>
      <c r="G13" s="21" t="n">
        <v>3</v>
      </c>
      <c r="H13" s="22" t="n">
        <v>3</v>
      </c>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y probado el 03-10-2026, antes del inicio del sprint; revisado y fusionado en el PR #10; falta la aceptación del Product Owner</t>
        </is>
      </c>
      <c r="G14" s="21" t="n">
        <v>2</v>
      </c>
      <c r="H14" s="22" t="n">
        <v>2</v>
      </c>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y probado el 03-10-2026, antes del inicio del sprint; revisado y fusionado en el PR #10; falta la aceptación del Product Owner</t>
        </is>
      </c>
      <c r="G15" s="21" t="n">
        <v>3</v>
      </c>
      <c r="H15" s="22" t="n">
        <v>3</v>
      </c>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y probado el 03-10-2026, antes del inicio del sprint; revisado y fusionado en el PR #10; falta la aceptación del Product Owner</t>
        </is>
      </c>
      <c r="G16" s="21" t="n">
        <v>3</v>
      </c>
      <c r="H16" s="22" t="n">
        <v>3</v>
      </c>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y probado el 03-10-2026, antes del inicio del sprint; revisado y fusionado en el PR #10; falta la aceptación del Product Owner</t>
        </is>
      </c>
      <c r="G17" s="21" t="n">
        <v>2</v>
      </c>
      <c r="H17" s="22" t="n">
        <v>2</v>
      </c>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y probado el 03-10-2026, antes del inicio del sprint; revisado y fusionado en el PR #10; falta la aceptación del Product Owner</t>
        </is>
      </c>
      <c r="G18" s="21" t="n">
        <v>2</v>
      </c>
      <c r="H18" s="22" t="n">
        <v>2</v>
      </c>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y probado el 03-10-2026, antes del inicio del sprint; revisado y fusionado en el PR #10; falta la aceptación del Product Owner</t>
        </is>
      </c>
      <c r="G19" s="21" t="n">
        <v>2</v>
      </c>
      <c r="H19" s="22" t="n">
        <v>2</v>
      </c>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y probado el 03-10-2026, antes del inicio del sprint; revisado y fusionado en el PR #10; falta la aceptación del Product Owner</t>
        </is>
      </c>
      <c r="G20" s="21" t="n">
        <v>3</v>
      </c>
      <c r="H20" s="22" t="n">
        <v>3</v>
      </c>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Luis Méndez</t>
        </is>
      </c>
      <c r="F21" s="21" t="inlineStr">
        <is>
          <t>Hecho: PR #10 aprobado por Luis Méndez y fusionado en main el 03-10-2026, antes del inicio del sprint. Sus 2 h se registraron en el Sprint 2 (fila 30).</t>
        </is>
      </c>
      <c r="G21" s="21" t="n">
        <v>0</v>
      </c>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125" customHeight="1" s="13">
      <c r="A22" s="14" t="n"/>
      <c r="B22" s="21" t="inlineStr">
        <is>
          <t>FS-HU-13</t>
        </is>
      </c>
      <c r="C22" s="21" t="inlineStr">
        <is>
          <t>Como un profesional, necesito definir mis horarios disponibles, con la finalidad de que los usuarios puedan reservar una hora conmigo.</t>
        </is>
      </c>
      <c r="D22" s="21" t="inlineStr">
        <is>
          <t>Crear la tabla disponibilidades y sus endpoints; validar bloques superpuestos.</t>
        </is>
      </c>
      <c r="E22" s="21" t="inlineStr">
        <is>
          <t>Luis Méndez</t>
        </is>
      </c>
      <c r="F22" s="21" t="inlineStr">
        <is>
          <t>Implementado: PR #21 y #22 (12-10-2026); probado con MySQL real. Pendiente de aceptación del PO.</t>
        </is>
      </c>
      <c r="G22" s="21" t="n">
        <v>3</v>
      </c>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v>2</v>
      </c>
      <c r="AA22" s="22">
        <f>X22-Z22</f>
        <v/>
      </c>
      <c r="AB22" s="23" t="n"/>
      <c r="AC22" s="22" t="n">
        <v>1</v>
      </c>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125" customHeight="1" s="13">
      <c r="A23" s="14" t="n"/>
      <c r="B23" s="21" t="n"/>
      <c r="C23" s="21" t="n"/>
      <c r="D23" s="21" t="inlineStr">
        <is>
          <t>Construir la pantalla de gestión de horarios (Frontend).</t>
        </is>
      </c>
      <c r="E23" s="21" t="inlineStr">
        <is>
          <t>Luis Méndez</t>
        </is>
      </c>
      <c r="F23" s="21" t="inlineStr">
        <is>
          <t>Implementado: PR #21 y #22 (12-10-2026); probado con MySQL real. Pendiente de aceptación del PO.</t>
        </is>
      </c>
      <c r="G23" s="21" t="n">
        <v>2</v>
      </c>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v>1</v>
      </c>
      <c r="AA23" s="22">
        <f>X23-Z23</f>
        <v/>
      </c>
      <c r="AB23" s="23" t="n"/>
      <c r="AC23" s="22" t="n">
        <v>1</v>
      </c>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125" customHeight="1" s="13">
      <c r="A24" s="14" t="n"/>
      <c r="B24" s="21" t="n"/>
      <c r="C24" s="21" t="n"/>
      <c r="D24" s="21" t="inlineStr">
        <is>
          <t>Pruebas automatizadas de disponibilidad.</t>
        </is>
      </c>
      <c r="E24" s="21" t="inlineStr">
        <is>
          <t>Luis Méndez</t>
        </is>
      </c>
      <c r="F24" s="21" t="inlineStr">
        <is>
          <t>Implementado: PR #21 y #22 (12-10-2026); probado con MySQL real. Pendiente de aceptación del PO.</t>
        </is>
      </c>
      <c r="G24" s="21" t="n">
        <v>1</v>
      </c>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v>1</v>
      </c>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125" customHeight="1" s="13">
      <c r="A25" s="14" t="n"/>
      <c r="B25" s="21" t="n"/>
      <c r="C25" s="21" t="n"/>
      <c r="D25" s="21" t="inlineStr">
        <is>
          <t>Revisión posterior del PR #13: elección de rol, sesión y espacio profesional.</t>
        </is>
      </c>
      <c r="E25" s="21" t="inlineStr">
        <is>
          <t>Luis Méndez</t>
        </is>
      </c>
      <c r="F25" s="21" t="inlineStr">
        <is>
          <t>Ajustes de sesión, rol y navegación revisados e integrados en PR #15/#16 fusionados.</t>
        </is>
      </c>
      <c r="G25" s="21" t="n">
        <v>2</v>
      </c>
      <c r="H25" s="22" t="n"/>
      <c r="I25" s="22">
        <f>G25-H25</f>
        <v/>
      </c>
      <c r="J25" s="23" t="n"/>
      <c r="K25" s="22" t="n"/>
      <c r="L25" s="22">
        <f>I25-K25</f>
        <v/>
      </c>
      <c r="M25" s="23" t="n"/>
      <c r="N25" s="22" t="n"/>
      <c r="O25" s="22">
        <f>L25-N25</f>
        <v/>
      </c>
      <c r="P25" s="23" t="n"/>
      <c r="Q25" s="22" t="n"/>
      <c r="R25" s="22">
        <f>O25-Q25</f>
        <v/>
      </c>
      <c r="S25" s="23" t="n"/>
      <c r="T25" s="22" t="n"/>
      <c r="U25" s="22">
        <f>R25-T25</f>
        <v/>
      </c>
      <c r="V25" s="23" t="n"/>
      <c r="W25" s="22" t="n">
        <v>2</v>
      </c>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125" customHeight="1" s="13">
      <c r="A26" s="14" t="n"/>
      <c r="B26" s="21" t="inlineStr">
        <is>
          <t>FS-HU-04</t>
        </is>
      </c>
      <c r="C26" s="21" t="inlineStr">
        <is>
          <t>Como un profesional, necesito crear y administrar mi propio perfil, con la finalidad de que los usuarios puedan encontrarme.</t>
        </is>
      </c>
      <c r="D26" s="21" t="inlineStr">
        <is>
          <t>Corregir el PR #11 para fusionarlo con main sin perder la búsqueda, la ficha ni las reseñas (endpoints GET/PUT /api/profesionales/mi-ficha)</t>
        </is>
      </c>
      <c r="E26" s="21" t="inlineStr">
        <is>
          <t>Luis Méndez; ajustes de Rodrigo Cárcamo</t>
        </is>
      </c>
      <c r="F26" s="21" t="inlineStr">
        <is>
          <t>Implementado: PR #12 fusionado el 08-10-2026, con ajustes de Rodrigo. Aceptada por el PO el 12-10-2026.</t>
        </is>
      </c>
      <c r="G26" s="21" t="n">
        <v>3</v>
      </c>
      <c r="H26" s="22" t="n"/>
      <c r="I26" s="22">
        <f>G26-H26</f>
        <v/>
      </c>
      <c r="J26" s="23" t="n"/>
      <c r="K26" s="22" t="n"/>
      <c r="L26" s="22">
        <f>I26-K26</f>
        <v/>
      </c>
      <c r="M26" s="23" t="n"/>
      <c r="N26" s="22" t="n">
        <v>2</v>
      </c>
      <c r="O26" s="22">
        <f>L26-N26</f>
        <v/>
      </c>
      <c r="P26" s="23" t="n"/>
      <c r="Q26" s="22" t="n">
        <v>1</v>
      </c>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125" customHeight="1" s="13">
      <c r="A27" s="14" t="n"/>
      <c r="B27" s="21" t="n"/>
      <c r="C27" s="21" t="n"/>
      <c r="D27" s="21" t="inlineStr">
        <is>
          <t>Pantalla del perfil profesional (Frontend) integrada con la navegación actual</t>
        </is>
      </c>
      <c r="E27" s="21" t="inlineStr">
        <is>
          <t>Luis Méndez (ficha, PR #12) y Rodrigo Cárcamo Rojas (espacio del profesional, PR #13)</t>
        </is>
      </c>
      <c r="F27" s="21" t="inlineStr">
        <is>
          <t>Implementado: ficha en el PR #12 y espacio del profesional en el PR #13 (fusionado el 09-10-2026). Aceptada por el PO el 12-10-2026.</t>
        </is>
      </c>
      <c r="G27" s="21" t="n">
        <v>9</v>
      </c>
      <c r="H27" s="22" t="n"/>
      <c r="I27" s="22">
        <f>G27-H27</f>
        <v/>
      </c>
      <c r="J27" s="23" t="n"/>
      <c r="K27" s="22" t="n"/>
      <c r="L27" s="22">
        <f>I27-K27</f>
        <v/>
      </c>
      <c r="M27" s="23" t="n"/>
      <c r="N27" s="22" t="n">
        <v>2</v>
      </c>
      <c r="O27" s="22">
        <f>L27-N27</f>
        <v/>
      </c>
      <c r="P27" s="23" t="n"/>
      <c r="Q27" s="22" t="n">
        <v>7</v>
      </c>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125" customHeight="1" s="13">
      <c r="A28" s="14" t="n"/>
      <c r="B28" s="21" t="n"/>
      <c r="C28" s="21" t="n"/>
      <c r="D28" s="21" t="inlineStr">
        <is>
          <t>Pruebas automatizadas del perfil profesional y revisión del PR</t>
        </is>
      </c>
      <c r="E28" s="21" t="inlineStr">
        <is>
          <t>Luis Méndez; ajustes de Rodrigo Cárcamo</t>
        </is>
      </c>
      <c r="F28" s="21" t="inlineStr">
        <is>
          <t>Implementado: pruebas de la ficha en el PR #12, revisado por Rodrigo antes de fusionar. Aceptada por el PO el 12-10-2026.</t>
        </is>
      </c>
      <c r="G28" s="21" t="n">
        <v>2</v>
      </c>
      <c r="H28" s="22" t="n"/>
      <c r="I28" s="22">
        <f>G28-H28</f>
        <v/>
      </c>
      <c r="J28" s="23" t="n"/>
      <c r="K28" s="22" t="n"/>
      <c r="L28" s="22">
        <f>I28-K28</f>
        <v/>
      </c>
      <c r="M28" s="23" t="n"/>
      <c r="N28" s="22" t="n">
        <v>1</v>
      </c>
      <c r="O28" s="22">
        <f>L28-N28</f>
        <v/>
      </c>
      <c r="P28" s="23" t="n"/>
      <c r="Q28" s="22" t="n">
        <v>1</v>
      </c>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125" customHeight="1" s="13">
      <c r="A29" s="14" t="n"/>
      <c r="B29" s="21" t="inlineStr">
        <is>
          <t>FS-HU-15</t>
        </is>
      </c>
      <c r="C29" s="21" t="inlineStr">
        <is>
          <t>Como un usuario, necesito recuperar mi contraseña mediante un enlace enviado a mi correo, con la finalidad de volver a acceder a mi cuenta si la olvido.</t>
        </is>
      </c>
      <c r="D29" s="21" t="inlineStr">
        <is>
          <t>Configurar la cuenta de correo del proyecto (SMTP con contraseña de aplicación) para el envío real del enlace</t>
        </is>
      </c>
      <c r="E29" s="21" t="inlineStr">
        <is>
          <t>Luis Méndez (planificada para Rodrigo Cárcamo Rojas)</t>
        </is>
      </c>
      <c r="F29" s="21" t="inlineStr">
        <is>
          <t>Comprobado el 12-10-2026 por Luis Méndez: correo real recibido y recuperación completa. Claves solo en .env.</t>
        </is>
      </c>
      <c r="G29" s="21" t="n">
        <v>1</v>
      </c>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v>1</v>
      </c>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125" customHeight="1" s="13">
      <c r="A30" s="14" t="n"/>
      <c r="B30" s="21" t="inlineStr">
        <is>
          <t>FS-HU-12</t>
        </is>
      </c>
      <c r="C30" s="21" t="inlineStr">
        <is>
          <t>Como un administrador, necesito verificar los perfiles de los profesionales, con la finalidad de que los usuarios identifiquen a los profesionales validados por la plataforma.</t>
        </is>
      </c>
      <c r="D30" s="21" t="inlineStr">
        <is>
          <t>Verificación de profesionales: endpoint de verificación, solicitudes con documentos y panel del administrador (Dashboard, Profesionales, Verificaciones, Usuarios y Reportes)</t>
        </is>
      </c>
      <c r="E30" s="21" t="inlineStr">
        <is>
          <t>Luis Méndez</t>
        </is>
      </c>
      <c r="F30" s="21" t="inlineStr">
        <is>
          <t>Implementado: PR #15, #19 y #20, fusionados entre el 10 y el 11-10-2026. Pendiente de aceptación del PO.</t>
        </is>
      </c>
      <c r="G30" s="21" t="n">
        <v>9</v>
      </c>
      <c r="H30" s="22" t="n"/>
      <c r="I30" s="22">
        <f>G30-H30</f>
        <v/>
      </c>
      <c r="J30" s="23" t="n"/>
      <c r="K30" s="22" t="n"/>
      <c r="L30" s="22">
        <f>I30-K30</f>
        <v/>
      </c>
      <c r="M30" s="23" t="n"/>
      <c r="N30" s="22" t="n"/>
      <c r="O30" s="22">
        <f>L30-N30</f>
        <v/>
      </c>
      <c r="P30" s="23" t="n"/>
      <c r="Q30" s="22" t="n"/>
      <c r="R30" s="22">
        <f>O30-Q30</f>
        <v/>
      </c>
      <c r="S30" s="23" t="n"/>
      <c r="T30" s="22" t="n">
        <v>3</v>
      </c>
      <c r="U30" s="22">
        <f>R30-T30</f>
        <v/>
      </c>
      <c r="V30" s="23" t="n"/>
      <c r="W30" s="22" t="n">
        <v>5</v>
      </c>
      <c r="X30" s="22">
        <f>U30-W30</f>
        <v/>
      </c>
      <c r="Y30" s="23" t="n"/>
      <c r="Z30" s="22" t="n">
        <v>1</v>
      </c>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125" customHeight="1" s="13">
      <c r="A31" s="14" t="n"/>
      <c r="B31" s="21" t="n"/>
      <c r="C31" s="21" t="n"/>
      <c r="D31" s="21" t="inlineStr">
        <is>
          <t>Pruebas automatizadas y comprobaciones con MySQL real de la verificación y del panel</t>
        </is>
      </c>
      <c r="E31" s="21" t="inlineStr">
        <is>
          <t>Luis Méndez</t>
        </is>
      </c>
      <c r="F31" s="21" t="inlineStr">
        <is>
          <t>Implementado: PR #15, #19 y #20, fusionados entre el 10 y el 11-10-2026. Pendiente de aceptación del PO.</t>
        </is>
      </c>
      <c r="G31" s="21" t="n">
        <v>2</v>
      </c>
      <c r="H31" s="22" t="n"/>
      <c r="I31" s="22">
        <f>G31-H31</f>
        <v/>
      </c>
      <c r="J31" s="23" t="n"/>
      <c r="K31" s="22" t="n"/>
      <c r="L31" s="22">
        <f>I31-K31</f>
        <v/>
      </c>
      <c r="M31" s="23" t="n"/>
      <c r="N31" s="22" t="n"/>
      <c r="O31" s="22">
        <f>L31-N31</f>
        <v/>
      </c>
      <c r="P31" s="23" t="n"/>
      <c r="Q31" s="22" t="n"/>
      <c r="R31" s="22">
        <f>O31-Q31</f>
        <v/>
      </c>
      <c r="S31" s="23" t="n"/>
      <c r="T31" s="22" t="n"/>
      <c r="U31" s="22">
        <f>R31-T31</f>
        <v/>
      </c>
      <c r="V31" s="23" t="n"/>
      <c r="W31" s="22" t="n">
        <v>2</v>
      </c>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25" customHeight="1" s="13">
      <c r="A32" s="14" t="n"/>
      <c r="B32" s="21" t="inlineStr">
        <is>
          <t>Sprint 3</t>
        </is>
      </c>
      <c r="C32" s="21" t="inlineStr">
        <is>
          <t>Tareas transversales del sprint</t>
        </is>
      </c>
      <c r="D32" s="21" t="inlineStr">
        <is>
          <t>Documentar el flujo del profesional: DAS v1.15, casos CP-050 a CP-060, defectos 15 a 24 y capturas</t>
        </is>
      </c>
      <c r="E32" s="21" t="inlineStr">
        <is>
          <t>Rodrigo Cárcamo Rojas</t>
        </is>
      </c>
      <c r="F32" s="21" t="inlineStr">
        <is>
          <t>Hecho el 08-10-2026</t>
        </is>
      </c>
      <c r="G32" s="21" t="n">
        <v>2</v>
      </c>
      <c r="H32" s="22" t="n"/>
      <c r="I32" s="22">
        <f>G32-H32</f>
        <v/>
      </c>
      <c r="J32" s="23" t="n"/>
      <c r="K32" s="22" t="n"/>
      <c r="L32" s="22">
        <f>I32-K32</f>
        <v/>
      </c>
      <c r="M32" s="23" t="n"/>
      <c r="N32" s="22" t="n"/>
      <c r="O32" s="22">
        <f>L32-N32</f>
        <v/>
      </c>
      <c r="P32" s="23" t="n"/>
      <c r="Q32" s="22" t="n">
        <v>2</v>
      </c>
      <c r="R32" s="22">
        <f>O32-Q32</f>
        <v/>
      </c>
      <c r="S32" s="23" t="n"/>
      <c r="T32" s="22" t="n"/>
      <c r="U32" s="22">
        <f>R32-T32</f>
        <v/>
      </c>
      <c r="V32" s="23" t="n"/>
      <c r="W32" s="22" t="n"/>
      <c r="X32" s="22">
        <f>U32-W32</f>
        <v/>
      </c>
      <c r="Y32" s="23" t="n"/>
      <c r="Z32" s="22" t="n"/>
      <c r="AA32" s="22">
        <f>X32-Z32</f>
        <v/>
      </c>
      <c r="AB32" s="23" t="n"/>
      <c r="AC32" s="22" t="n"/>
      <c r="AD32" s="22">
        <f>AA32-AC32</f>
        <v/>
      </c>
      <c r="AE32" s="23" t="n"/>
      <c r="AF32" s="22" t="n"/>
      <c r="AG32" s="22">
        <f>AD32-AF32</f>
        <v/>
      </c>
      <c r="AH32" s="23" t="n"/>
      <c r="AI32" s="22" t="n"/>
      <c r="AJ32" s="22">
        <f>AG32-AI32</f>
        <v/>
      </c>
      <c r="AK32" s="23" t="n"/>
      <c r="AL32" s="22" t="n"/>
      <c r="AM32" s="22">
        <f>AJ32-AL32</f>
        <v/>
      </c>
      <c r="AN32" s="23" t="n"/>
      <c r="AO32" s="22" t="n"/>
      <c r="AP32" s="22">
        <f>AM32-AO32</f>
        <v/>
      </c>
      <c r="AQ32" s="23" t="n"/>
      <c r="AR32" s="22" t="n"/>
      <c r="AS32" s="22">
        <f>AP32-AR32</f>
        <v/>
      </c>
      <c r="AT32" s="23" t="n"/>
      <c r="AU32" s="22" t="n"/>
      <c r="AV32" s="22">
        <f>AS32-AU32</f>
        <v/>
      </c>
      <c r="AW32" s="23" t="n"/>
      <c r="AX32" s="22" t="n"/>
      <c r="AY32" s="22">
        <f>AV32-AX32</f>
        <v/>
      </c>
      <c r="AZ32" s="23" t="n"/>
      <c r="BA32" s="22" t="n"/>
      <c r="BB32" s="22">
        <f>AY32-BA32</f>
        <v/>
      </c>
      <c r="BC32" s="23" t="n"/>
      <c r="BD32" s="22" t="n"/>
      <c r="BE32" s="22">
        <f>BB32-BD32</f>
        <v/>
      </c>
      <c r="BF32" s="23" t="n"/>
      <c r="BG32" s="22" t="n"/>
      <c r="BH32" s="22">
        <f>BE32-BG32</f>
        <v/>
      </c>
      <c r="BI32" s="23" t="n"/>
      <c r="BJ32" s="22" t="n"/>
      <c r="BK32" s="22">
        <f>BH32-BJ32</f>
        <v/>
      </c>
      <c r="BL32" s="23" t="n"/>
      <c r="BM32" s="22" t="n"/>
      <c r="BN32" s="22">
        <f>BK32-BM32</f>
        <v/>
      </c>
      <c r="BO32" s="23" t="n"/>
      <c r="BP32" s="24">
        <f>H32+K32+N32+Q32+T32+W32+Z32+AC32+AF32+AI32+AL32+AO32+AR32+AU32+AX32+BA32+BD32+BG32+BJ32+BM32</f>
        <v/>
      </c>
      <c r="BQ32" s="24">
        <f>G32-BP32</f>
        <v/>
      </c>
    </row>
    <row r="33" ht="125" customHeight="1" s="13">
      <c r="A33" s="14" t="n"/>
      <c r="B33" s="21" t="n"/>
      <c r="C33" s="21" t="n"/>
      <c r="D33" s="21" t="inlineStr">
        <is>
          <t>Revisar el código de los PR del Sprint 3 (#12, #14, #15, #19, #20, #21 y #22) antes de fusionarlos</t>
        </is>
      </c>
      <c r="E33" s="21" t="inlineStr">
        <is>
          <t>Rodrigo Cárcamo Rojas</t>
        </is>
      </c>
      <c r="F33" s="21" t="inlineStr">
        <is>
          <t>Hecho: revisiones registradas en GitHub; el PR #14 se reemplazó por el #15</t>
        </is>
      </c>
      <c r="G33" s="21" t="n">
        <v>6</v>
      </c>
      <c r="H33" s="22" t="n"/>
      <c r="I33" s="22">
        <f>G33-H33</f>
        <v/>
      </c>
      <c r="J33" s="23" t="n"/>
      <c r="K33" s="22" t="n"/>
      <c r="L33" s="22">
        <f>I33-K33</f>
        <v/>
      </c>
      <c r="M33" s="23" t="n"/>
      <c r="N33" s="22" t="n">
        <v>1</v>
      </c>
      <c r="O33" s="22">
        <f>L33-N33</f>
        <v/>
      </c>
      <c r="P33" s="23" t="n"/>
      <c r="Q33" s="22" t="n"/>
      <c r="R33" s="22">
        <f>O33-Q33</f>
        <v/>
      </c>
      <c r="S33" s="23" t="n"/>
      <c r="T33" s="22" t="n">
        <v>1</v>
      </c>
      <c r="U33" s="22">
        <f>R33-T33</f>
        <v/>
      </c>
      <c r="V33" s="23" t="n"/>
      <c r="W33" s="22" t="n">
        <v>1</v>
      </c>
      <c r="X33" s="22">
        <f>U33-W33</f>
        <v/>
      </c>
      <c r="Y33" s="23" t="n"/>
      <c r="Z33" s="22" t="n">
        <v>1</v>
      </c>
      <c r="AA33" s="22">
        <f>X33-Z33</f>
        <v/>
      </c>
      <c r="AB33" s="23" t="n"/>
      <c r="AC33" s="22" t="n">
        <v>2</v>
      </c>
      <c r="AD33" s="22">
        <f>AA33-AC33</f>
        <v/>
      </c>
      <c r="AE33" s="23" t="n"/>
      <c r="AF33" s="22" t="n"/>
      <c r="AG33" s="22">
        <f>AD33-AF33</f>
        <v/>
      </c>
      <c r="AH33" s="23" t="n"/>
      <c r="AI33" s="22" t="n"/>
      <c r="AJ33" s="22">
        <f>AG33-AI33</f>
        <v/>
      </c>
      <c r="AK33" s="23" t="n"/>
      <c r="AL33" s="22" t="n"/>
      <c r="AM33" s="22">
        <f>AJ33-AL33</f>
        <v/>
      </c>
      <c r="AN33" s="23" t="n"/>
      <c r="AO33" s="22" t="n"/>
      <c r="AP33" s="22">
        <f>AM33-AO33</f>
        <v/>
      </c>
      <c r="AQ33" s="23" t="n"/>
      <c r="AR33" s="22" t="n"/>
      <c r="AS33" s="22">
        <f>AP33-AR33</f>
        <v/>
      </c>
      <c r="AT33" s="23" t="n"/>
      <c r="AU33" s="22" t="n"/>
      <c r="AV33" s="22">
        <f>AS33-AU33</f>
        <v/>
      </c>
      <c r="AW33" s="23" t="n"/>
      <c r="AX33" s="22" t="n"/>
      <c r="AY33" s="22">
        <f>AV33-AX33</f>
        <v/>
      </c>
      <c r="AZ33" s="23" t="n"/>
      <c r="BA33" s="22" t="n"/>
      <c r="BB33" s="22">
        <f>AY33-BA33</f>
        <v/>
      </c>
      <c r="BC33" s="23" t="n"/>
      <c r="BD33" s="22" t="n"/>
      <c r="BE33" s="22">
        <f>BB33-BD33</f>
        <v/>
      </c>
      <c r="BF33" s="23" t="n"/>
      <c r="BG33" s="22" t="n"/>
      <c r="BH33" s="22">
        <f>BE33-BG33</f>
        <v/>
      </c>
      <c r="BI33" s="23" t="n"/>
      <c r="BJ33" s="22" t="n"/>
      <c r="BK33" s="22">
        <f>BH33-BJ33</f>
        <v/>
      </c>
      <c r="BL33" s="23" t="n"/>
      <c r="BM33" s="22" t="n"/>
      <c r="BN33" s="22">
        <f>BK33-BM33</f>
        <v/>
      </c>
      <c r="BO33" s="23" t="n"/>
      <c r="BP33" s="24">
        <f>H33+K33+N33+Q33+T33+W33+Z33+AC33+AF33+AI33+AL33+AO33+AR33+AU33+AX33+BA33+BD33+BG33+BJ33+BM33</f>
        <v/>
      </c>
      <c r="BQ33" s="24">
        <f>G33-BP33</f>
        <v/>
      </c>
    </row>
    <row r="34" ht="125" customHeight="1" s="13">
      <c r="A34" s="14" t="n"/>
      <c r="B34" s="21" t="n"/>
      <c r="C34" s="21" t="n"/>
      <c r="D34" s="21" t="inlineStr">
        <is>
          <t>Estandarizar el tablero de Trello con una de las plantillas Scrum del docente (listas, etiquetas de sprint y épica, tarjetas de las historias)</t>
        </is>
      </c>
      <c r="E34" s="21" t="inlineStr">
        <is>
          <t>Nicolás Silva</t>
        </is>
      </c>
      <c r="F34" s="21" t="inlineStr">
        <is>
          <t>Hecho el 08-10-2026</t>
        </is>
      </c>
      <c r="G34" s="21" t="n">
        <v>3</v>
      </c>
      <c r="H34" s="22" t="n"/>
      <c r="I34" s="22">
        <f>G34-H34</f>
        <v/>
      </c>
      <c r="J34" s="23" t="n"/>
      <c r="K34" s="22" t="n"/>
      <c r="L34" s="22">
        <f>I34-K34</f>
        <v/>
      </c>
      <c r="M34" s="23" t="n"/>
      <c r="N34" s="22" t="n"/>
      <c r="O34" s="22">
        <f>L34-N34</f>
        <v/>
      </c>
      <c r="P34" s="23" t="n"/>
      <c r="Q34" s="22" t="n">
        <v>3</v>
      </c>
      <c r="R34" s="22">
        <f>O34-Q34</f>
        <v/>
      </c>
      <c r="S34" s="23" t="n"/>
      <c r="T34" s="22" t="n"/>
      <c r="U34" s="22">
        <f>R34-T34</f>
        <v/>
      </c>
      <c r="V34" s="23" t="n"/>
      <c r="W34" s="22" t="n"/>
      <c r="X34" s="22">
        <f>U34-W34</f>
        <v/>
      </c>
      <c r="Y34" s="23" t="n"/>
      <c r="Z34" s="22" t="n"/>
      <c r="AA34" s="22">
        <f>X34-Z34</f>
        <v/>
      </c>
      <c r="AB34" s="23" t="n"/>
      <c r="AC34" s="22" t="n"/>
      <c r="AD34" s="22">
        <f>AA34-AC34</f>
        <v/>
      </c>
      <c r="AE34" s="23" t="n"/>
      <c r="AF34" s="22" t="n"/>
      <c r="AG34" s="22">
        <f>AD34-AF34</f>
        <v/>
      </c>
      <c r="AH34" s="23" t="n"/>
      <c r="AI34" s="22" t="n"/>
      <c r="AJ34" s="22">
        <f>AG34-AI34</f>
        <v/>
      </c>
      <c r="AK34" s="23" t="n"/>
      <c r="AL34" s="22" t="n"/>
      <c r="AM34" s="22">
        <f>AJ34-AL34</f>
        <v/>
      </c>
      <c r="AN34" s="23" t="n"/>
      <c r="AO34" s="22" t="n"/>
      <c r="AP34" s="22">
        <f>AM34-AO34</f>
        <v/>
      </c>
      <c r="AQ34" s="23" t="n"/>
      <c r="AR34" s="22" t="n"/>
      <c r="AS34" s="22">
        <f>AP34-AR34</f>
        <v/>
      </c>
      <c r="AT34" s="23" t="n"/>
      <c r="AU34" s="22" t="n"/>
      <c r="AV34" s="22">
        <f>AS34-AU34</f>
        <v/>
      </c>
      <c r="AW34" s="23" t="n"/>
      <c r="AX34" s="22" t="n"/>
      <c r="AY34" s="22">
        <f>AV34-AX34</f>
        <v/>
      </c>
      <c r="AZ34" s="23" t="n"/>
      <c r="BA34" s="22" t="n"/>
      <c r="BB34" s="22">
        <f>AY34-BA34</f>
        <v/>
      </c>
      <c r="BC34" s="23" t="n"/>
      <c r="BD34" s="22" t="n"/>
      <c r="BE34" s="22">
        <f>BB34-BD34</f>
        <v/>
      </c>
      <c r="BF34" s="23" t="n"/>
      <c r="BG34" s="22" t="n"/>
      <c r="BH34" s="22">
        <f>BE34-BG34</f>
        <v/>
      </c>
      <c r="BI34" s="23" t="n"/>
      <c r="BJ34" s="22" t="n"/>
      <c r="BK34" s="22">
        <f>BH34-BJ34</f>
        <v/>
      </c>
      <c r="BL34" s="23" t="n"/>
      <c r="BM34" s="22" t="n"/>
      <c r="BN34" s="22">
        <f>BK34-BM34</f>
        <v/>
      </c>
      <c r="BO34" s="23" t="n"/>
      <c r="BP34" s="24">
        <f>H34+K34+N34+Q34+T34+W34+Z34+AC34+AF34+AI34+AL34+AO34+AR34+AU34+AX34+BA34+BD34+BG34+BJ34+BM34</f>
        <v/>
      </c>
      <c r="BQ34" s="24">
        <f>G34-BP34</f>
        <v/>
      </c>
    </row>
    <row r="35" ht="125" customHeight="1" s="13">
      <c r="A35" s="14" t="n"/>
      <c r="B35" s="21" t="n"/>
      <c r="C35" s="21" t="n"/>
      <c r="D35" s="21" t="inlineStr">
        <is>
          <t>Actualizar el DAS (versiones 1.16 a 1.22), los diagramas del Sprint 3 y las exportaciones del tablero Miro</t>
        </is>
      </c>
      <c r="E35" s="21" t="inlineStr">
        <is>
          <t>Luis Méndez</t>
        </is>
      </c>
      <c r="F35" s="21" t="inlineStr">
        <is>
          <t>En proceso: DAS 1.22 y diagramas en main y en el Drive; falta llevar los marcos de Miro a la versión 1.22 (1 h)</t>
        </is>
      </c>
      <c r="G35" s="21" t="n">
        <v>4</v>
      </c>
      <c r="H35" s="22" t="n"/>
      <c r="I35" s="22">
        <f>G35-H35</f>
        <v/>
      </c>
      <c r="J35" s="23" t="n"/>
      <c r="K35" s="22" t="n"/>
      <c r="L35" s="22">
        <f>I35-K35</f>
        <v/>
      </c>
      <c r="M35" s="23" t="n"/>
      <c r="N35" s="22" t="n"/>
      <c r="O35" s="22">
        <f>L35-N35</f>
        <v/>
      </c>
      <c r="P35" s="23" t="n"/>
      <c r="Q35" s="22" t="n"/>
      <c r="R35" s="22">
        <f>O35-Q35</f>
        <v/>
      </c>
      <c r="S35" s="23" t="n"/>
      <c r="T35" s="22" t="n"/>
      <c r="U35" s="22">
        <f>R35-T35</f>
        <v/>
      </c>
      <c r="V35" s="23" t="n"/>
      <c r="W35" s="22" t="n">
        <v>2</v>
      </c>
      <c r="X35" s="22">
        <f>U35-W35</f>
        <v/>
      </c>
      <c r="Y35" s="23" t="n"/>
      <c r="Z35" s="22" t="n"/>
      <c r="AA35" s="22">
        <f>X35-Z35</f>
        <v/>
      </c>
      <c r="AB35" s="23" t="n"/>
      <c r="AC35" s="22" t="n">
        <v>1</v>
      </c>
      <c r="AD35" s="22">
        <f>AA35-AC35</f>
        <v/>
      </c>
      <c r="AE35" s="23" t="n"/>
      <c r="AF35" s="22" t="n"/>
      <c r="AG35" s="22">
        <f>AD35-AF35</f>
        <v/>
      </c>
      <c r="AH35" s="23" t="n"/>
      <c r="AI35" s="22" t="n"/>
      <c r="AJ35" s="22">
        <f>AG35-AI35</f>
        <v/>
      </c>
      <c r="AK35" s="23" t="n"/>
      <c r="AL35" s="22" t="n"/>
      <c r="AM35" s="22">
        <f>AJ35-AL35</f>
        <v/>
      </c>
      <c r="AN35" s="23" t="n"/>
      <c r="AO35" s="22" t="n"/>
      <c r="AP35" s="22">
        <f>AM35-AO35</f>
        <v/>
      </c>
      <c r="AQ35" s="23" t="n"/>
      <c r="AR35" s="22" t="n"/>
      <c r="AS35" s="22">
        <f>AP35-AR35</f>
        <v/>
      </c>
      <c r="AT35" s="23" t="n"/>
      <c r="AU35" s="22" t="n"/>
      <c r="AV35" s="22">
        <f>AS35-AU35</f>
        <v/>
      </c>
      <c r="AW35" s="23" t="n"/>
      <c r="AX35" s="22" t="n"/>
      <c r="AY35" s="22">
        <f>AV35-AX35</f>
        <v/>
      </c>
      <c r="AZ35" s="23" t="n"/>
      <c r="BA35" s="22" t="n"/>
      <c r="BB35" s="22">
        <f>AY35-BA35</f>
        <v/>
      </c>
      <c r="BC35" s="23" t="n"/>
      <c r="BD35" s="22" t="n"/>
      <c r="BE35" s="22">
        <f>BB35-BD35</f>
        <v/>
      </c>
      <c r="BF35" s="23" t="n"/>
      <c r="BG35" s="22" t="n"/>
      <c r="BH35" s="22">
        <f>BE35-BG35</f>
        <v/>
      </c>
      <c r="BI35" s="23" t="n"/>
      <c r="BJ35" s="22" t="n"/>
      <c r="BK35" s="22">
        <f>BH35-BJ35</f>
        <v/>
      </c>
      <c r="BL35" s="23" t="n"/>
      <c r="BM35" s="22" t="n"/>
      <c r="BN35" s="22">
        <f>BK35-BM35</f>
        <v/>
      </c>
      <c r="BO35" s="23" t="n"/>
      <c r="BP35" s="24">
        <f>H35+K35+N35+Q35+T35+W35+Z35+AC35+AF35+AI35+AL35+AO35+AR35+AU35+AX35+BA35+BD35+BG35+BJ35+BM35</f>
        <v/>
      </c>
      <c r="BQ35" s="24">
        <f>G35-BP35</f>
        <v/>
      </c>
    </row>
    <row r="36" ht="125" customHeight="1" s="13">
      <c r="A36" s="14" t="n"/>
      <c r="B36" s="21" t="n"/>
      <c r="C36" s="21" t="n"/>
      <c r="D36" s="21" t="inlineStr">
        <is>
          <t>Corregir el límite de reservas para no contar las citas pasadas (defecto 26) y ajustes de la revisión del PR #22</t>
        </is>
      </c>
      <c r="E36" s="21" t="inlineStr">
        <is>
          <t>Rodrigo Cárcamo Rojas</t>
        </is>
      </c>
      <c r="F36" s="21" t="inlineStr">
        <is>
          <t>Hecho: commit 4728310 en el PR #22, fusionado el 12-10-2026</t>
        </is>
      </c>
      <c r="G36" s="21" t="n">
        <v>2</v>
      </c>
      <c r="H36" s="22" t="n"/>
      <c r="I36" s="22">
        <f>G36-H36</f>
        <v/>
      </c>
      <c r="J36" s="23" t="n"/>
      <c r="K36" s="22" t="n"/>
      <c r="L36" s="22">
        <f>I36-K36</f>
        <v/>
      </c>
      <c r="M36" s="23" t="n"/>
      <c r="N36" s="22" t="n"/>
      <c r="O36" s="22">
        <f>L36-N36</f>
        <v/>
      </c>
      <c r="P36" s="23" t="n"/>
      <c r="Q36" s="22" t="n"/>
      <c r="R36" s="22">
        <f>O36-Q36</f>
        <v/>
      </c>
      <c r="S36" s="23" t="n"/>
      <c r="T36" s="22" t="n"/>
      <c r="U36" s="22">
        <f>R36-T36</f>
        <v/>
      </c>
      <c r="V36" s="23" t="n"/>
      <c r="W36" s="22" t="n"/>
      <c r="X36" s="22">
        <f>U36-W36</f>
        <v/>
      </c>
      <c r="Y36" s="23" t="n"/>
      <c r="Z36" s="22" t="n"/>
      <c r="AA36" s="22">
        <f>X36-Z36</f>
        <v/>
      </c>
      <c r="AB36" s="23" t="n"/>
      <c r="AC36" s="22" t="n">
        <v>2</v>
      </c>
      <c r="AD36" s="22">
        <f>AA36-AC36</f>
        <v/>
      </c>
      <c r="AE36" s="23" t="n"/>
      <c r="AF36" s="22" t="n"/>
      <c r="AG36" s="22">
        <f>AD36-AF36</f>
        <v/>
      </c>
      <c r="AH36" s="23" t="n"/>
      <c r="AI36" s="22" t="n"/>
      <c r="AJ36" s="22">
        <f>AG36-AI36</f>
        <v/>
      </c>
      <c r="AK36" s="23" t="n"/>
      <c r="AL36" s="22" t="n"/>
      <c r="AM36" s="22">
        <f>AJ36-AL36</f>
        <v/>
      </c>
      <c r="AN36" s="23" t="n"/>
      <c r="AO36" s="22" t="n"/>
      <c r="AP36" s="22">
        <f>AM36-AO36</f>
        <v/>
      </c>
      <c r="AQ36" s="23" t="n"/>
      <c r="AR36" s="22" t="n"/>
      <c r="AS36" s="22">
        <f>AP36-AR36</f>
        <v/>
      </c>
      <c r="AT36" s="23" t="n"/>
      <c r="AU36" s="22" t="n"/>
      <c r="AV36" s="22">
        <f>AS36-AU36</f>
        <v/>
      </c>
      <c r="AW36" s="23" t="n"/>
      <c r="AX36" s="22" t="n"/>
      <c r="AY36" s="22">
        <f>AV36-AX36</f>
        <v/>
      </c>
      <c r="AZ36" s="23" t="n"/>
      <c r="BA36" s="22" t="n"/>
      <c r="BB36" s="22">
        <f>AY36-BA36</f>
        <v/>
      </c>
      <c r="BC36" s="23" t="n"/>
      <c r="BD36" s="22" t="n"/>
      <c r="BE36" s="22">
        <f>BB36-BD36</f>
        <v/>
      </c>
      <c r="BF36" s="23" t="n"/>
      <c r="BG36" s="22" t="n"/>
      <c r="BH36" s="22">
        <f>BE36-BG36</f>
        <v/>
      </c>
      <c r="BI36" s="23" t="n"/>
      <c r="BJ36" s="22" t="n"/>
      <c r="BK36" s="22">
        <f>BH36-BJ36</f>
        <v/>
      </c>
      <c r="BL36" s="23" t="n"/>
      <c r="BM36" s="22" t="n"/>
      <c r="BN36" s="22">
        <f>BK36-BM36</f>
        <v/>
      </c>
      <c r="BO36" s="23" t="n"/>
      <c r="BP36" s="24">
        <f>H36+K36+N36+Q36+T36+W36+Z36+AC36+AF36+AI36+AL36+AO36+AR36+AU36+AX36+BA36+BD36+BG36+BJ36+BM36</f>
        <v/>
      </c>
      <c r="BQ36" s="24">
        <f>G36-BP36</f>
        <v/>
      </c>
    </row>
    <row r="37" ht="125" customHeight="1" s="13">
      <c r="A37" s="14" t="n"/>
      <c r="B37" s="21" t="n"/>
      <c r="C37" s="21" t="n"/>
      <c r="D37" s="21" t="inlineStr">
        <is>
          <t>Documentación y sincronización: conciliación de backlogs, decisiones del PO, casos CP-069 a CP-080, defectos 25 y 26, Guía 2.4, control, Drive y Trello</t>
        </is>
      </c>
      <c r="E37" s="21" t="inlineStr">
        <is>
          <t>Rodrigo Cárcamo Rojas</t>
        </is>
      </c>
      <c r="F37" s="21" t="inlineStr">
        <is>
          <t>Hecho al 12-10-2026</t>
        </is>
      </c>
      <c r="G37" s="21" t="n">
        <v>7</v>
      </c>
      <c r="H37" s="22" t="n"/>
      <c r="I37" s="22">
        <f>G37-H37</f>
        <v/>
      </c>
      <c r="J37" s="23" t="n"/>
      <c r="K37" s="22" t="n"/>
      <c r="L37" s="22">
        <f>I37-K37</f>
        <v/>
      </c>
      <c r="M37" s="23" t="n"/>
      <c r="N37" s="22" t="n"/>
      <c r="O37" s="22">
        <f>L37-N37</f>
        <v/>
      </c>
      <c r="P37" s="23" t="n"/>
      <c r="Q37" s="22" t="n"/>
      <c r="R37" s="22">
        <f>O37-Q37</f>
        <v/>
      </c>
      <c r="S37" s="23" t="n"/>
      <c r="T37" s="22" t="n">
        <v>2</v>
      </c>
      <c r="U37" s="22">
        <f>R37-T37</f>
        <v/>
      </c>
      <c r="V37" s="23" t="n"/>
      <c r="W37" s="22" t="n"/>
      <c r="X37" s="22">
        <f>U37-W37</f>
        <v/>
      </c>
      <c r="Y37" s="23" t="n"/>
      <c r="Z37" s="22" t="n"/>
      <c r="AA37" s="22">
        <f>X37-Z37</f>
        <v/>
      </c>
      <c r="AB37" s="23" t="n"/>
      <c r="AC37" s="22" t="n">
        <v>5</v>
      </c>
      <c r="AD37" s="22">
        <f>AA37-AC37</f>
        <v/>
      </c>
      <c r="AE37" s="23" t="n"/>
      <c r="AF37" s="22" t="n"/>
      <c r="AG37" s="22">
        <f>AD37-AF37</f>
        <v/>
      </c>
      <c r="AH37" s="23" t="n"/>
      <c r="AI37" s="22" t="n"/>
      <c r="AJ37" s="22">
        <f>AG37-AI37</f>
        <v/>
      </c>
      <c r="AK37" s="23" t="n"/>
      <c r="AL37" s="22" t="n"/>
      <c r="AM37" s="22">
        <f>AJ37-AL37</f>
        <v/>
      </c>
      <c r="AN37" s="23" t="n"/>
      <c r="AO37" s="22" t="n"/>
      <c r="AP37" s="22">
        <f>AM37-AO37</f>
        <v/>
      </c>
      <c r="AQ37" s="23" t="n"/>
      <c r="AR37" s="22" t="n"/>
      <c r="AS37" s="22">
        <f>AP37-AR37</f>
        <v/>
      </c>
      <c r="AT37" s="23" t="n"/>
      <c r="AU37" s="22" t="n"/>
      <c r="AV37" s="22">
        <f>AS37-AU37</f>
        <v/>
      </c>
      <c r="AW37" s="23" t="n"/>
      <c r="AX37" s="22" t="n"/>
      <c r="AY37" s="22">
        <f>AV37-AX37</f>
        <v/>
      </c>
      <c r="AZ37" s="23" t="n"/>
      <c r="BA37" s="22" t="n"/>
      <c r="BB37" s="22">
        <f>AY37-BA37</f>
        <v/>
      </c>
      <c r="BC37" s="23" t="n"/>
      <c r="BD37" s="22" t="n"/>
      <c r="BE37" s="22">
        <f>BB37-BD37</f>
        <v/>
      </c>
      <c r="BF37" s="23" t="n"/>
      <c r="BG37" s="22" t="n"/>
      <c r="BH37" s="22">
        <f>BE37-BG37</f>
        <v/>
      </c>
      <c r="BI37" s="23" t="n"/>
      <c r="BJ37" s="22" t="n"/>
      <c r="BK37" s="22">
        <f>BH37-BJ37</f>
        <v/>
      </c>
      <c r="BL37" s="23" t="n"/>
      <c r="BM37" s="22" t="n"/>
      <c r="BN37" s="22">
        <f>BK37-BM37</f>
        <v/>
      </c>
      <c r="BO37" s="23" t="n"/>
      <c r="BP37" s="24">
        <f>H37+K37+N37+Q37+T37+W37+Z37+AC37+AF37+AI37+AL37+AO37+AR37+AU37+AX37+BA37+BD37+BG37+BJ37+BM37</f>
        <v/>
      </c>
      <c r="BQ37" s="24">
        <f>G37-BP37</f>
        <v/>
      </c>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1000"/>
  <sheetViews>
    <sheetView showGridLines="1" workbookViewId="0">
      <selection activeCell="A1" sqref="A1"/>
    </sheetView>
  </sheetViews>
  <sheetFormatPr baseColWidth="8" defaultColWidth="12.6328125" defaultRowHeight="15"/>
  <cols>
    <col width="1.379999995231628" customWidth="1" style="12" min="1" max="1"/>
    <col width="24.25" customWidth="1" style="12" min="2" max="2"/>
    <col width="75.25" customWidth="1" style="12" min="3" max="3"/>
    <col width="2.5" customWidth="1" style="12" min="4" max="4"/>
    <col width="10" customWidth="1" style="12" min="5" max="6"/>
    <col width="9.380000114440918" customWidth="1" style="12" min="7" max="26"/>
  </cols>
  <sheetData>
    <row r="1" ht="26.79999923706055"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0000076293945"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000038146973"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0000076293945"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0000076293945"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15258789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15258789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000038146973"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000038146973"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2026-10-12T06:34:42Z</dcterms:created>
  <dcterms:modified xmlns:dcterms="http://purl.org/dc/terms/" xmlns:xsi="http://www.w3.org/2001/XMLSchema-instance" xsi:type="dcterms:W3CDTF">2026-10-12T21:11:27Z</dcterms:modified>
</cp:coreProperties>
</file>