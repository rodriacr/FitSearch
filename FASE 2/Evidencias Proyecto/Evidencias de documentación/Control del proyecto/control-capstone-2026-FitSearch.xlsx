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Entregables'!B5:B19, B8) + COUNTIF('Lista de Entregables'!B5:B19,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Entregables'!$B$5:$B$19, $B$8, 'Lista de Entregables'!$H$5:$H$19, "Completado") + COUNTIFS('Lista de Entregables'!$B$5:$B$19, "Común", 'Lista de Entregables'!$H$5:$H$19,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Entregables'!$B$5:$B$19, $B$8, 'Lista de Entregables'!$H$5:$H$19, "En Proceso") + COUNTIFS('Lista de Entregables'!$B$5:$B$19, "Común", 'Lista de Entregables'!$H$5:$H$19,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
12-10-2026: versión 1.1 de la visión, que incorpora la reserva básica de horas (E7) y la verificación de perfiles profesionales (FS-HU-12).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03-10-2026 el Product Backlog tiene 24 historias (FS-HU-15 a FS-HU-20 agregadas en el Sprint 2 y FS-HU-21 a FS-HU-24 el 03-10-2026).
12-10-2026: el Documento Product Backlog (carpeta Sprint 1) pasa a la versión 1.1 con las 24 historias (117 puntos) y el Documento de Épicas e Historias de Usuario a la versión 1.6, con la imagen de cada una de las 24 historias.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cerrado el 04-10-2026 con 30 tareas, 110 h estimadas y 92 h reales (Rodrigo Cárcamo Rojas 51, Nicolás Silva 23 y Luis Méndez 18), registradas al cierre según el trabajo entregado en GitHub; Documento Sprint Backlog 2, Documento Validando Sprint 2 y burndown del Sprint 2 en 'Sprint 2/'. El Product Owner aceptó FS-HU-02 (tipo de cuenta), FS-HU-03 y FS-HU-15 a FS-HU-20 el 03-10-2026; FS-HU-04 (PR #11 en corrección) y FS-HU-13 pasan al Sprint 3. Sprint 3 (desde el 05-10-2026): el Sprint Backlog 3 registra las tareas implementadas de FS-HU-04, FS-HU-05, FS-HU-06, FS-HU-12, FS-HU-13, FS-HU-14 y FS-HU-21 a FS-HU-24, y la configuración del SMTP de FS-HU-15. El Product Owner aceptó el 12-10-2026 FS-HU-04, FS-HU-05, FS-HU-12, FS-HU-13, FS-HU-14 y FS-HU-21 a FS-HU-24 (FS-HU-12 y FS-HU-14 con observaciones); FS-HU-06 queda pendiente de CP-078. Horas del Sprint 3 registradas el 12-10-2026 según el trabajo entregado en GitHub, con un máximo de 5 h por persona y día: 33 tareas, 65 h estimadas y 63 h registradas al día 8 (Rodrigo Cárcamo Rojas 37, Luis Méndez 23 y Nicolás Silva 3); Documento Sprint Backlog 3 y burndown del Sprint 3 en 'Sprint 3/'.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 | 12-10-2026: DAS v1.22 en main (15 tablas, 12 implementadas; 12 ilustraciones, decisiones hasta D30 y escenarios QS1 a QS7). Incluye el diagrama UML de componentes (Ilustración 13) y el límite de reservas, fusionados con el PR #22. Guía 2.4 actualizada al 12-10-2026.
15-10-2026: DAS 1.23 con la SC-18 (decisión D31, que reemplaza a D8, e Ilustraciones 1, 9, 10 y 13 regeneradas) y Guía 2.4 actualizada con los PR #25 y #27.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En Proceso</t>
        </is>
      </c>
      <c r="I15" s="43" t="n"/>
      <c r="J15" s="43" t="inlineStr">
        <is>
          <t>Sprint 1: retrospectiva escrita (asíncrona) registrada el 24-09-2026 en 'Sprint 1/Plantilla_Resumen_Reunion_Retrospectiva.docx', con las respuestas de los tres integrantes. Sprint 2: retrospectiva escrita (asíncrona) registrada el 12-10-2026 en 'Sprint 2/Plantilla_Resumen_Reunion_Retrospectiva.docx', con las respuestas de los tres integrantes.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80 casos (CP-001 a CP-080), 77 aprobados y 3 sin ejecutar (CP-024 y CP-025, acceso con Google; CP-078, mapa real en main). Registro de Defectos con 29 defectos: 26 corregidos y 3 abiertos (27 a 29, del mapa nuevo del PR #27). El 15-10-2026 se repitieron CP-076 y CP-077 con MapLibre (189/189 en el frontend); CP-078 sigue pendiente con el mapa nuevo. Comprobaciones con MySQL real: npm run test:mysql:agenda, 55/55 sobre main 662e79c el 12-10-2026. Evidencias en FASE 2/Evidencias Proyecto/Evidencias de documentación/Sprint N/Capturas del sistema. 19-10-2026: CP-081 a CP-087 (mejoras de interfaz, SC-19), todos aprobados → 87 casos, 84 aprobados y 3 sin ejecutar (CP-024, CP-025 y CP-078); defectos 30 a 34 corregidos → 34 defectos: 31 corregidos y 3 abiertos (27 a 29). Evidencias en Plan de Pruebas/Mejoras_Interfaz_2026-10-19*. 19-10-2026 (SC-20, reserva con calendario): CP-088 a CP-091 aprobados → 91 casos, 88 aprobados y 3 sin ejecutar. Evidencias en Plan de Pruebas/Flujo_Reservas_2026-10-19*. SC-21 (calendario al publicar horarios): CP-092 y CP-093 aprobados → 93 casos, 90 aprobados y 3 sin ejecutar. Evidencias en Plan de Pruebas/Publicar_Horario_2026-10-19*. Defecto 35 (mapa que se veía de lejos por una ubicación fuera de Chile) corregido con CP-094 → 94 casos, 91 aprobados y 3 sin ejecutar; 35 defectos: 32 corregidos y 3 abiertos. Evidencias en Plan de Pruebas/Mapa_Chile_2026-10-19*. SC-22 (detalle del profesional en el mapa): CP-095 y CP-096 aprobados y defecto 28 corregido → 96 casos, 93 aprobados y 3 sin ejecutar; 35 defectos: 33 corregidos y 2 abiertos (27 y 29). Evidencias en Plan de Pruebas/Detalle_Mapa_2026-10-19*. SC-23 (buscador general del Inicio): CP-097 y CP-098 aprobados → 98 casos, 95 aprobados y 3 sin ejecutar. Evidencias en Plan de Pruebas/Buscador_Inicio_2026-10-19*. SC-24 (dirección de atención y coordenadas en Chile en la ficha profesional): CP-099 y CP-100 aprobados → 100 casos, 97 aprobados y 3 sin ejecutar. Evidencias en Plan de Pruebas/Direccion_Ficha_2026-10-19*. 21-10-2026: corregidos los defectos 27 y 29 del mapa (CP-101 y CP-102 aprobados) → 102 casos, 99 aprobados y 3 sin ejecutar; 35 defectos, todos corregidos. Evidencias en Plan de Pruebas/Defectos_Mapa_2026-10-21*. 21-10-2026: asistente IA (FS-HU-07, SC-25): CP-103 a CP-108 aprobados y CP-109 (respuesta real de Groq) pendiente de la clave → 109 casos, 105 aprobados y 4 sin ejecutar. Evidencias en Plan de Pruebas/Asistente_IA_2026-10-21*. 22-10-2026: CP-109 aprobado con Groq real (modelo openai/gpt-oss-120b) y defecto 36 corregido → 109 casos, 106 aprobados y 3 sin ejecutar; 36 defectos, todos corregidos. Evidencias en Plan de Pruebas/Asistente_IA_2026-10-22_groq_real*. 22-10-2026: FS-HU-08 (recomendación de profesional) y SC-26 (el SAMU solo en situaciones críticas): CP-110 a CP-114 aprobados → 114 casos, 111 aprobados y 3 sin ejecutar. Evidencias en Plan de Pruebas/Recomendacion_Profesional_2026-10-22*. 22-10-2026: SC-27 (lista y mapa juntos en Profesionales, FS-HU-06) y defecto 37 (mapa en una pestaña oculta): CP-115 a CP-120 aprobados → 120 casos, 117 aprobados y 3 sin ejecutar; 37 defectos, todos corregidos. Evidencias en Plan de Pruebas/Lista_y_Mapa_2026-10-22*. 22-10-2026: defecto 38 (la red de seguridad del asistente no reconocía formas directas de riesgo suicida), encontrado en la revisión previa de los PR #28 a #30 y corregido en el PR #29: CP-121 aprobado → 121 casos, 118 aprobados y 3 sin ejecutar; 38 defectos, todos corregidos. 23-10-2026: defecto 39 (el límite diario del asistente se podía superar con mensajes simultáneos), informado por Luis Méndez en la revisión del PR #29 y corregido en ese PR: CP-122 aprobado → 122 casos, 119 aprobados y 3 sin ejecutar; 39 defectos, todos corregidos. Luis Méndez agregó la comprobación con MySQL real npm run test:mysql:asistente (23 condiciones aprobadas; Plan de Pruebas/Asistente_Cupo_MySQL*). PR #29 y #30 fusionados en main el 23-10-2026. 24-10-2026: CP-078 aprobado sobre main con el mapa real (FS-HU-06; evidencia Plan de Pruebas/Mapa_Real_CP078_2026-10-24*) → 122 casos, 120 aprobados y 2 sin ejecutar (CP-024 y CP-025, acceso con Google). 24-10-2026: SC-28 (la ficha profesional se ubica con la comuna y la dirección, sin escribir coordenadas, FS-HU-04): CP-123 a CP-125 aprobados → 125 casos, 123 aprobados y 2 sin ejecutar (CP-024 y CP-025); 39 defectos, todos corregidos. Evidencias en Plan de Pruebas/Ubicacion_Direccion_2026-10-24*.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  <row r="18" ht="42" customHeight="1" s="23">
      <c r="A18" s="40" t="inlineStr">
        <is>
          <t>Fase 2 (50%)</t>
        </is>
      </c>
      <c r="B18" s="46" t="inlineStr">
        <is>
          <t>Común</t>
        </is>
      </c>
      <c r="C18" s="42" t="inlineStr">
        <is>
          <t>Matriz de Control de Cambio</t>
        </is>
      </c>
      <c r="D18" s="42" t="inlineStr">
        <is>
          <t>Registro de cada solicitud de cambio del proyecto: solicitante, tipo (solicitud del cliente o corrección), urgencia, importancia, requerimiento y caso de uso relacionados, fase, impacto y aprobación.</t>
        </is>
      </c>
      <c r="E18" s="40" t="inlineStr">
        <is>
          <t>Formato planilla</t>
        </is>
      </c>
      <c r="F18" s="43" t="inlineStr">
        <is>
          <t>Rodrigo Cárcamo Rojas</t>
        </is>
      </c>
      <c r="G18" s="44" t="inlineStr">
        <is>
          <t>Por confirmar</t>
        </is>
      </c>
      <c r="H18" s="44" t="inlineStr">
        <is>
          <t>En Proceso</t>
        </is>
      </c>
      <c r="I18" s="43" t="n"/>
      <c r="J18" s="43" t="inlineStr">
        <is>
          <t>FASE 2/Evidencias Proyecto/Evidencias de documentación/Control del proyecto/Matriz_Control_de_Cambio_FitSearch.xlsx. Al 15-10-2026 registra 18 solicitudes (SC-01 a SC-18): 17 aceptadas y 1 rechazada (Google Places en FS-HU-03). Las SC-12 a SC-17 cubren el flujo y el espacio del profesional, el clima en su Inicio, el menú del usuario, la elección del perfil en una pantalla propia, el panel del administrador con FS-HU-12 en el Sprint 3 el límite de una reserva activa por usuario con cada profesional y el cambio del mapa a MapLibre GL JS con OpenFreeMap (SC-18, PR #27). El 19-10-2026 se agregó la SC-19 (mejoras de respuesta y movimiento de la interfaz, con los defectos 30 a 34): 19 solicitudes, 18 aceptadas y 1 rechazada. Ese mismo día se agregó la SC-20 (reserva con calendario en FS-HU-14): 20 solicitudes, 19 aceptadas y 1 rechazada. Luego, la SC-21 (calendario al publicar horarios en FS-HU-13): 21 solicitudes, 20 aceptadas y 1 rechazada. Luego, la SC-22 (detalle del profesional en la ventana del mapa, FS-HU-06): 22 solicitudes, 21 aceptadas y 1 rechazada. Luego, la SC-23 (buscador general del Inicio, FS-HU-21): 23 solicitudes, 22 aceptadas y 1 rechazada. Luego, la SC-24 (dirección de atención del profesional, FS-HU-04 y FS-HU-06): 24 solicitudes, 23 aceptadas y 1 rechazada. Luego, la SC-25 (proveedor del asistente IA: Groq en vez de la API de Claude, FS-HU-07 y FS-HU-08): 25 solicitudes, 24 aceptadas y 1 rechazada. Luego, la SC-26 (el asistente nombra el SAMU solo en situaciones críticas, FS-HU-07): 26 solicitudes, 25 aceptadas y 1 rechazada. Luego, la SC-27 (lista y mapa juntos en Profesionales, FS-HU-06 y FS-HU-22): 27 solicitudes, 26 aceptadas y 1 rechazada. Luego, la SC-28 (ubicación de la ficha profesional por dirección, sin coordenadas, FS-HU-04): 28 solicitudes, 27 aceptadas y 1 rechazada. Se actualiza con cada cambio de alcance.</t>
        </is>
      </c>
    </row>
    <row r="19" ht="42" customHeight="1" s="23">
      <c r="A19" s="40" t="inlineStr">
        <is>
          <t>Fase 2 (50%)</t>
        </is>
      </c>
      <c r="B19" s="46" t="inlineStr">
        <is>
          <t>Común</t>
        </is>
      </c>
      <c r="C19" s="42" t="inlineStr">
        <is>
          <t>EDT y Análisis de Ingresos</t>
        </is>
      </c>
      <c r="D19" s="42" t="inlineStr">
        <is>
          <t>Estructura de descomposición de tareas por fase con horas por rol, diccionario de roles y costo de las horas-hombre según el análisis de ingresos del mercado.</t>
        </is>
      </c>
      <c r="E19" s="40" t="inlineStr">
        <is>
          <t>Formato planilla</t>
        </is>
      </c>
      <c r="F19" s="43" t="inlineStr">
        <is>
          <t>Equipo completo</t>
        </is>
      </c>
      <c r="G19" s="44" t="inlineStr">
        <is>
          <t>Por confirmar</t>
        </is>
      </c>
      <c r="H19" s="44" t="inlineStr">
        <is>
          <t>En Proceso</t>
        </is>
      </c>
      <c r="I19" s="43" t="n"/>
      <c r="J19" s="43" t="inlineStr">
        <is>
          <t>FASE 2/Evidencias Proyecto/Evidencias de documentación/Control del proyecto/EDT_Analisis_Ingresos_FitSearch.xlsx. Primera versión al 03-10-2026: 48 actividades, 957 HH y costo estimado de $3.773.056. Horas reales solo del Sprint 1; el resto son estimaciones que el equipo debe revisar.</t>
        </is>
      </c>
    </row>
  </sheetData>
  <dataValidations count="1">
    <dataValidation sqref="H5:H19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v1.28: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v1.28, Vista Física: tabla de nodos y diagrama de despliegue UML (Nginx, Node.js/Express, MySQL 8, MapLibre GL JS con OpenFreeMap, Nominatim (búsqueda de direcciones), Groq (API de IA),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v1.28,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quince tablas implementadas al 21-10-2026 (Ilustración 4 del DAS v1.28, generado desde Diagramas (Miro)/Actualización Sprint 3); el modelo completo de dieciséis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v1.28, Vista Lógica &gt; Diccionario de datos: 16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v1.28, Ilustración 1 (casos de uso CU-01 a CU-09 con «include» y «extend», actualizada al 15-10-2026)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v1.28, Vista de Procesos: secuencias del registro de comida (Ilustración 5), de la elección del perfil y el asistente (Ilustración 6, en tres partes), de la reserva con reservas simultáneas (Ilustración 7) y de la recuperación de contraseña (Ilustración 8); flujos de la verificación administrativa (Ilustración 11) y de la disponibilidad y las reservas (Ilustración 12).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Implementado</t>
        </is>
      </c>
      <c r="F12" s="43" t="n"/>
      <c r="G12" s="43" t="inlineStr">
        <is>
          <t>DAS v1.28, Ilustración 13: diagrama UML de componentes e interfaces (13_Componentes_UML), fusionado el 12-10-2026 (PR #22); complementa la Vista de Desarrollo (Ilustración 9).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v1.28, Ilustración 2: asociaciones del modelo de clases del dominio (los atributos están en el diccionario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 Al 15-10-2026: 233 pruebas en el backend y 189 en el frontend, todas aprobadas. Al 19-10-2026: 241 en el backend y 231 en el frontend (mejoras de interfaz, SC-19; reserva con calendario, SC-20, y calendario al publicar horarios, SC-21; mapa limitado a Chile, defecto 35; detalle en el mapa, SC-22; buscador general, SC-23; dirección del profesional, SC-24), todas aprobadas. Al 21-10-2026: 241 en el backend y 233 en el frontend (defectos 27 y 29 del mapa), todas aprobadas. Con el asistente IA (FS-HU-07, 21-10-2026): 267 en el backend y 245 en el frontend, todas aprobadas. Con la recomendación de profesional (FS-HU-08) y la SC-26, 22-10-2026: 295 en el backend y 250 en el frontend, todas aprobadas. Con la lista y el mapa juntos (SC-27) y el defecto 37, 22-10-2026: 295 en el backend y 264 en el frontend, todas aprobadas. Con la corrección del defecto 38, 22-10-2026: 296 en el backend y 264 en el frontend, todas aprobadas. Con la corrección del defecto 39 (pruebas con mensajes simultáneos), 23-10-2026: 304 en el backend, todas aprobadas; el frontend no cambia. Con la ubicación de la ficha por dirección (SC-28), 24-10-2026: 316 en el backend y 277 en el frontend,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 Al 12-10-2026: comprobaciones de agenda y reservas contra MySQL real (npm run test:mysql:agenda, 55/55, incluido el límite de reservas), incluidas las reservas simultáneas.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2026-10-24T15:58:58Z</dcterms:modified>
  <cp:lastModifiedBy>Juanandres Hernandez Aliaga</cp:lastModifiedBy>
  <cp:revision>0</cp:revision>
</cp:coreProperties>
</file>