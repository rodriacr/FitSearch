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Resumen y Configuración" sheetId="1" state="visible" r:id="rId1"/>
    <sheet xmlns:r="http://schemas.openxmlformats.org/officeDocument/2006/relationships" name="Lista de Entregables" sheetId="2" state="visible" r:id="rId2"/>
    <sheet xmlns:r="http://schemas.openxmlformats.org/officeDocument/2006/relationships" name="Elementos Técn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97D"/>
      <sz val="16"/>
    </font>
    <font>
      <name val="Calibri"/>
      <charset val="1"/>
      <family val="0"/>
      <i val="1"/>
      <color rgb="FF595959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595959"/>
      <sz val="10"/>
    </font>
    <font>
      <name val="Calibri"/>
      <charset val="1"/>
      <family val="0"/>
      <b val="1"/>
      <color rgb="FF385723"/>
      <sz val="11"/>
    </font>
    <font>
      <name val="Calibri"/>
      <charset val="1"/>
      <family val="0"/>
      <b val="1"/>
      <color rgb="FF7F6000"/>
      <sz val="11"/>
    </font>
    <font>
      <name val="Calibri"/>
      <charset val="1"/>
      <family val="0"/>
      <b val="1"/>
      <color rgb="FF1F497D"/>
      <sz val="11"/>
    </font>
  </fonts>
  <fills count="6">
    <fill>
      <patternFill/>
    </fill>
    <fill>
      <patternFill patternType="gray125"/>
    </fill>
    <fill>
      <patternFill patternType="solid">
        <fgColor rgb="FF2F5496"/>
        <bgColor rgb="FF305496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305496"/>
        <bgColor rgb="FF2F5496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2F5496"/>
      </top>
      <bottom style="medium">
        <color rgb="FF2F5496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3" fontId="7" fillId="4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164" fontId="7" fillId="4" borderId="1" applyAlignment="1" pivotButton="0" quotePrefix="0" xfId="0">
      <alignment horizontal="center" vertical="bottom"/>
    </xf>
    <xf numFmtId="0" fontId="9" fillId="0" borderId="2" applyAlignment="1" pivotButton="0" quotePrefix="0" xfId="0">
      <alignment horizontal="left" vertical="bottom"/>
    </xf>
    <xf numFmtId="0" fontId="8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6" fillId="5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0" fillId="0" borderId="6" pivotButton="0" quotePrefix="0" xfId="0"/>
    <xf numFmtId="0" fontId="7" fillId="4" borderId="1" applyAlignment="1" pivotButton="0" quotePrefix="0" xfId="0">
      <alignment horizontal="center" vertical="bottom"/>
    </xf>
    <xf numFmtId="3" fontId="7" fillId="4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164" fontId="7" fillId="4" borderId="1" applyAlignment="1" pivotButton="0" quotePrefix="0" xfId="0">
      <alignment horizontal="center" vertical="bottom"/>
    </xf>
    <xf numFmtId="0" fontId="9" fillId="0" borderId="2" applyAlignment="1" pivotButton="0" quotePrefix="0" xfId="0">
      <alignment horizontal="left" vertical="bottom"/>
    </xf>
    <xf numFmtId="0" fontId="0" fillId="0" borderId="8" pivotButton="0" quotePrefix="0" xfId="0"/>
    <xf numFmtId="0" fontId="0" fillId="0" borderId="2" pivotButton="0" quotePrefix="0" xfId="0"/>
    <xf numFmtId="0" fontId="8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6" fillId="5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2F549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0549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857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" zeroHeight="0" outlineLevelRow="0"/>
  <cols>
    <col width="30" customWidth="1" style="22" min="1" max="2"/>
    <col width="15" customWidth="1" style="22" min="3" max="3"/>
    <col width="5" customWidth="1" style="22" min="4" max="4"/>
    <col width="35" customWidth="1" style="22" min="5" max="5"/>
    <col width="10" customWidth="1" style="22" min="6" max="6"/>
    <col width="15" customWidth="1" style="22" min="7" max="7"/>
  </cols>
  <sheetData>
    <row r="1" ht="24.75" customHeight="1" s="23">
      <c r="A1" s="24" t="inlineStr">
        <is>
          <t>SISTEMA DE CONTROL DE ENTREGABLES Y ARTEFACTOS - CAPSTONE 2026</t>
        </is>
      </c>
    </row>
    <row r="2" ht="18" customHeight="1" s="23">
      <c r="A2" s="25" t="inlineStr">
        <is>
          <t>Herramienta de Control y Seguimiento Basada en el Instructivo Oficial CAPSTONE 2026 (Duoc UC)</t>
        </is>
      </c>
    </row>
    <row r="4" ht="24" customHeight="1" s="23">
      <c r="A4" s="26" t="inlineStr">
        <is>
          <t>INFORMACIÓN DEL PROYECTO</t>
        </is>
      </c>
      <c r="E4" s="26" t="inlineStr">
        <is>
          <t>RESUMEN EJECUTIVO DE PROGRESO</t>
        </is>
      </c>
    </row>
    <row r="5" ht="19.5" customHeight="1" s="23">
      <c r="A5" s="27" t="inlineStr">
        <is>
          <t>Nombre del Proyecto</t>
        </is>
      </c>
      <c r="B5" s="28" t="inlineStr">
        <is>
          <t>FitSearch</t>
        </is>
      </c>
      <c r="C5" s="29" t="n"/>
      <c r="E5" s="27" t="inlineStr">
        <is>
          <t>Metodología Activa</t>
        </is>
      </c>
      <c r="F5" s="29" t="n"/>
      <c r="G5" s="30">
        <f>'Resumen y Configuración'!B8</f>
        <v/>
      </c>
    </row>
    <row r="6" ht="19.5" customHeight="1" s="23">
      <c r="A6" s="27" t="inlineStr">
        <is>
          <t>Nombre del Equipo/Grupo</t>
        </is>
      </c>
      <c r="B6" s="28" t="n"/>
      <c r="C6" s="29" t="n"/>
      <c r="E6" s="27" t="inlineStr">
        <is>
          <t>Total Entregables Requeridos</t>
        </is>
      </c>
      <c r="F6" s="29" t="n"/>
      <c r="G6" s="31">
        <f>COUNTIF('Lista de Entregables'!B5:B19, B8) + COUNTIF('Lista de Entregables'!B5:B19, "Común")</f>
        <v/>
      </c>
    </row>
    <row r="7" ht="19.5" customHeight="1" s="23">
      <c r="A7" s="27" t="inlineStr">
        <is>
          <t>Sede / Sección</t>
        </is>
      </c>
      <c r="B7" s="28" t="n"/>
      <c r="C7" s="29" t="n"/>
      <c r="E7" s="27" t="inlineStr">
        <is>
          <t>Entregables Completados</t>
        </is>
      </c>
      <c r="F7" s="29" t="n"/>
      <c r="G7" s="31">
        <f>COUNTIFS('Lista de Entregables'!$B$5:$B$19, $B$8, 'Lista de Entregables'!$H$5:$H$19, "Completado") + COUNTIFS('Lista de Entregables'!$B$5:$B$19, "Común", 'Lista de Entregables'!$H$5:$H$19, "Completado")</f>
        <v/>
      </c>
    </row>
    <row r="8" ht="19.5" customHeight="1" s="23">
      <c r="A8" s="27" t="inlineStr">
        <is>
          <t>Metodología de Desarrollo</t>
        </is>
      </c>
      <c r="B8" s="32" t="inlineStr">
        <is>
          <t>Ágil</t>
        </is>
      </c>
      <c r="C8" s="29" t="n"/>
      <c r="E8" s="27" t="inlineStr">
        <is>
          <t>Entregables En Proceso</t>
        </is>
      </c>
      <c r="F8" s="29" t="n"/>
      <c r="G8" s="31">
        <f>COUNTIFS('Lista de Entregables'!$B$5:$B$19, $B$8, 'Lista de Entregables'!$H$5:$H$19, "En Proceso") + COUNTIFS('Lista de Entregables'!$B$5:$B$19, "Común", 'Lista de Entregables'!$H$5:$H$19, "En Proceso")</f>
        <v/>
      </c>
    </row>
    <row r="9" ht="19.5" customHeight="1" s="23">
      <c r="A9" s="27" t="inlineStr">
        <is>
          <t>Integrante 1 (Nombre y Rol)</t>
        </is>
      </c>
      <c r="B9" s="28" t="inlineStr">
        <is>
          <t>Rodrigo Cárcamo Rojas - Product Owner / Backend, Datos e IA</t>
        </is>
      </c>
      <c r="C9" s="29" t="n"/>
      <c r="E9" s="27" t="inlineStr">
        <is>
          <t>Entregables Pendientes</t>
        </is>
      </c>
      <c r="F9" s="29" t="n"/>
      <c r="G9" s="31">
        <f>G6-G7-G8</f>
        <v/>
      </c>
    </row>
    <row r="10" ht="19.5" customHeight="1" s="23">
      <c r="A10" s="27" t="inlineStr">
        <is>
          <t>Integrante 2 (Nombre y Rol)</t>
        </is>
      </c>
      <c r="B10" s="28" t="inlineStr">
        <is>
          <t>Luis Méndez - Scrum Master / Backend y Base de Datos</t>
        </is>
      </c>
      <c r="C10" s="29" t="n"/>
      <c r="E10" s="27" t="inlineStr">
        <is>
          <t>Porcentaje de Avance General</t>
        </is>
      </c>
      <c r="F10" s="29" t="n"/>
      <c r="G10" s="33">
        <f>IFERROR(G7/G6, 0)</f>
        <v/>
      </c>
    </row>
    <row r="11" ht="19.5" customHeight="1" s="23">
      <c r="A11" s="27" t="inlineStr">
        <is>
          <t>Integrante 3 (Nombre y Rol)</t>
        </is>
      </c>
      <c r="B11" s="28" t="inlineStr">
        <is>
          <t>Nicolás Silva - Desarrollador Frontend</t>
        </is>
      </c>
      <c r="C11" s="29" t="n"/>
      <c r="E11" s="27" t="inlineStr">
        <is>
          <t>Total Elementos Técnicos Oblig.</t>
        </is>
      </c>
      <c r="F11" s="29" t="n"/>
      <c r="G11" s="31">
        <f>COUNTA('Elementos Técnicos'!A5:A28)</f>
        <v/>
      </c>
    </row>
    <row r="12" ht="19.5" customHeight="1" s="23">
      <c r="E12" s="27" t="inlineStr">
        <is>
          <t>Elementos Técnicos Implementados</t>
        </is>
      </c>
      <c r="F12" s="29" t="n"/>
      <c r="G12" s="31">
        <f>COUNTIF('Elementos Técnicos'!E5:E28, "Implementado")</f>
        <v/>
      </c>
    </row>
    <row r="13" ht="19.5" customHeight="1" s="23">
      <c r="E13" s="27" t="inlineStr">
        <is>
          <t>Elementos Técnicos En Desarrollo</t>
        </is>
      </c>
      <c r="F13" s="29" t="n"/>
      <c r="G13" s="31">
        <f>COUNTIF('Elementos Técnicos'!E5:E28, "En Desarrollo")</f>
        <v/>
      </c>
    </row>
    <row r="14" ht="19.5" customHeight="1" s="23">
      <c r="A14" s="34" t="inlineStr">
        <is>
          <t>CÓDIGO DE COLORES PARA EL EQUIPO</t>
        </is>
      </c>
      <c r="B14" s="35" t="n"/>
      <c r="C14" s="35" t="n"/>
      <c r="D14" s="35" t="n"/>
      <c r="E14" s="35" t="n"/>
      <c r="F14" s="35" t="n"/>
      <c r="G14" s="36" t="n"/>
    </row>
    <row r="15" ht="19.5" customHeight="1" s="23">
      <c r="A15" s="37" t="inlineStr">
        <is>
          <t>Celda de Entrada (Inputs del Equipo)</t>
        </is>
      </c>
      <c r="D15" s="38" t="inlineStr">
        <is>
          <t>Celda Calculada Automáticamente</t>
        </is>
      </c>
      <c r="E15" s="27" t="inlineStr">
        <is>
          <t>Cumplimiento Requisitos Técnicos</t>
        </is>
      </c>
      <c r="F15" s="29" t="n"/>
      <c r="G15" s="33">
        <f>IFERROR(G12/G11, 0)</f>
        <v/>
      </c>
    </row>
  </sheetData>
  <mergeCells count="20">
    <mergeCell ref="E12:F12"/>
    <mergeCell ref="A14:G14"/>
    <mergeCell ref="B7:C7"/>
    <mergeCell ref="E5:F5"/>
    <mergeCell ref="E8:F8"/>
    <mergeCell ref="B11:C11"/>
    <mergeCell ref="E10:F10"/>
    <mergeCell ref="E13:F13"/>
    <mergeCell ref="A4:C4"/>
    <mergeCell ref="B8:C8"/>
    <mergeCell ref="E9:F9"/>
    <mergeCell ref="E6:F6"/>
    <mergeCell ref="E15:F15"/>
    <mergeCell ref="B10:C10"/>
    <mergeCell ref="E11:F11"/>
    <mergeCell ref="B9:C9"/>
    <mergeCell ref="B6:C6"/>
    <mergeCell ref="E7:F7"/>
    <mergeCell ref="B5:C5"/>
    <mergeCell ref="E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4:J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" zeroHeight="0" outlineLevelRow="0"/>
  <cols>
    <col width="15" customWidth="1" style="22" min="1" max="2"/>
    <col width="30" customWidth="1" style="22" min="3" max="3"/>
    <col width="45" customWidth="1" style="22" min="4" max="4"/>
    <col width="20" customWidth="1" style="22" min="5" max="5"/>
    <col width="18" customWidth="1" style="22" min="6" max="6"/>
    <col width="15" customWidth="1" style="22" min="7" max="7"/>
    <col width="18" customWidth="1" style="22" min="8" max="8"/>
    <col width="25" customWidth="1" style="22" min="9" max="9"/>
    <col width="35" customWidth="1" style="22" min="10" max="10"/>
  </cols>
  <sheetData>
    <row r="4" ht="30" customHeight="1" s="23">
      <c r="A4" s="39" t="inlineStr">
        <is>
          <t>Fase</t>
        </is>
      </c>
      <c r="B4" s="39" t="inlineStr">
        <is>
          <t>Metodología</t>
        </is>
      </c>
      <c r="C4" s="39" t="inlineStr">
        <is>
          <t>Entregable / Artefacto</t>
        </is>
      </c>
      <c r="D4" s="39" t="inlineStr">
        <is>
          <t>Descripción y Propósito (Instructivo)</t>
        </is>
      </c>
      <c r="E4" s="39" t="inlineStr">
        <is>
          <t>Extensión Sugerida</t>
        </is>
      </c>
      <c r="F4" s="39" t="inlineStr">
        <is>
          <t>Responsable</t>
        </is>
      </c>
      <c r="G4" s="39" t="inlineStr">
        <is>
          <t>Fecha Límite</t>
        </is>
      </c>
      <c r="H4" s="39" t="inlineStr">
        <is>
          <t>Estado de Avance</t>
        </is>
      </c>
      <c r="I4" s="39" t="inlineStr">
        <is>
          <t>Enlace de Evidencia (Git)</t>
        </is>
      </c>
      <c r="J4" s="39" t="inlineStr">
        <is>
          <t>Comentarios / Notas</t>
        </is>
      </c>
    </row>
    <row r="5" ht="42" customHeight="1" s="23">
      <c r="A5" s="40" t="inlineStr">
        <is>
          <t>Fase 1 (20%)</t>
        </is>
      </c>
      <c r="B5" s="41" t="inlineStr">
        <is>
          <t>Común</t>
        </is>
      </c>
      <c r="C5" s="42" t="inlineStr">
        <is>
          <t>Documento de Inicio de Proyecto</t>
        </is>
      </c>
      <c r="D5" s="42" t="inlineStr">
        <is>
          <t>Describe el problema u oportunidad, objetivos del proyecto, usuarios/stakeholders, alcance del MVP, restricciones y justificación de la solución.</t>
        </is>
      </c>
      <c r="E5" s="40" t="inlineStr">
        <is>
          <t>1-2 páginas</t>
        </is>
      </c>
      <c r="F5" s="43" t="inlineStr">
        <is>
          <t>Equipo completo</t>
        </is>
      </c>
      <c r="G5" s="44" t="inlineStr">
        <is>
          <t>Semana 3</t>
        </is>
      </c>
      <c r="H5" s="44" t="inlineStr">
        <is>
          <t>Completado</t>
        </is>
      </c>
      <c r="I5" s="43" t="n"/>
      <c r="J5" s="43" t="inlineStr">
        <is>
          <t>Cubierto por la Guía del Estudiante Fase 1 (1.5, versión CORREGIDO) y el documento FitSearch_Fase1_Definicion_Proyecto_APT.</t>
        </is>
      </c>
    </row>
    <row r="6" ht="42" customHeight="1" s="23">
      <c r="A6" s="40" t="inlineStr">
        <is>
          <t>Fase 1 (20%)</t>
        </is>
      </c>
      <c r="B6" s="45" t="inlineStr">
        <is>
          <t>Cascada</t>
        </is>
      </c>
      <c r="C6" s="42" t="inlineStr">
        <is>
          <t>Documento de Requerimientos (SRS)</t>
        </is>
      </c>
      <c r="D6" s="42" t="inlineStr">
        <is>
          <t>Detalle completo del problema, objetivos generales y específicos, requisitos funcionales y no funcionales, y diagramas de casos de uso del sistema.</t>
        </is>
      </c>
      <c r="E6" s="40" t="inlineStr">
        <is>
          <t>10-15 páginas</t>
        </is>
      </c>
      <c r="F6" s="43" t="n"/>
      <c r="G6" s="44" t="inlineStr">
        <is>
          <t>Semana 4</t>
        </is>
      </c>
      <c r="H6" s="44" t="inlineStr">
        <is>
          <t>No Iniciado</t>
        </is>
      </c>
      <c r="I6" s="43" t="n"/>
      <c r="J6" s="43" t="inlineStr">
        <is>
          <t>No aplica: el equipo trabaja con metodología Ágil (Scrum), no Cascada.</t>
        </is>
      </c>
    </row>
    <row r="7" ht="42" customHeight="1" s="23">
      <c r="A7" s="40" t="inlineStr">
        <is>
          <t>Fase 2 (50%)</t>
        </is>
      </c>
      <c r="B7" s="45" t="inlineStr">
        <is>
          <t>Cascada</t>
        </is>
      </c>
      <c r="C7" s="42" t="inlineStr">
        <is>
          <t>Documento de Diseño</t>
        </is>
      </c>
      <c r="D7" s="42" t="inlineStr">
        <is>
          <t>Modelado de la arquitectura de software, modelo de datos físico, diagramas UML mínimos (secuencia, componentes, clases) y diseño de despliegue con Docker.</t>
        </is>
      </c>
      <c r="E7" s="40" t="inlineStr">
        <is>
          <t>10-15 páginas</t>
        </is>
      </c>
      <c r="F7" s="43" t="n"/>
      <c r="G7" s="44" t="inlineStr">
        <is>
          <t>Semana 10</t>
        </is>
      </c>
      <c r="H7" s="44" t="inlineStr">
        <is>
          <t>No Iniciado</t>
        </is>
      </c>
      <c r="I7" s="43" t="n"/>
      <c r="J7" s="43" t="inlineStr">
        <is>
          <t>No aplica: el equipo trabaja con metodología Ágil (Scrum), no Cascada.</t>
        </is>
      </c>
    </row>
    <row r="8" ht="42" customHeight="1" s="23">
      <c r="A8" s="40" t="inlineStr">
        <is>
          <t>Fase 2 (50%)</t>
        </is>
      </c>
      <c r="B8" s="45" t="inlineStr">
        <is>
          <t>Cascada</t>
        </is>
      </c>
      <c r="C8" s="42" t="inlineStr">
        <is>
          <t>Plan de Pruebas + Evidencias</t>
        </is>
      </c>
      <c r="D8" s="42" t="inlineStr">
        <is>
          <t>Definición y ejecución de casos de prueba (unitarias, integración, seguridad y rendimiento) y registro de resultados obtenidos.</t>
        </is>
      </c>
      <c r="E8" s="40" t="inlineStr">
        <is>
          <t>5-8 páginas</t>
        </is>
      </c>
      <c r="F8" s="43" t="n"/>
      <c r="G8" s="44" t="inlineStr">
        <is>
          <t>Semana 15</t>
        </is>
      </c>
      <c r="H8" s="44" t="inlineStr">
        <is>
          <t>No Iniciado</t>
        </is>
      </c>
      <c r="I8" s="43" t="n"/>
      <c r="J8" s="43" t="inlineStr">
        <is>
          <t>No aplica: el equipo trabaja con metodología Ágil (Scrum), no Cascada.</t>
        </is>
      </c>
    </row>
    <row r="9" ht="42" customHeight="1" s="23">
      <c r="A9" s="40" t="inlineStr">
        <is>
          <t>Fase 2 (50%)</t>
        </is>
      </c>
      <c r="B9" s="45" t="inlineStr">
        <is>
          <t>Cascada</t>
        </is>
      </c>
      <c r="C9" s="42" t="inlineStr">
        <is>
          <t>Manual Técnico y Despliegue</t>
        </is>
      </c>
      <c r="D9" s="42" t="inlineStr">
        <is>
          <t>Instrucciones detalladas de instalación, variables de entorno, configuración de docker-compose y procesos para levantar y ejecutar el sistema.</t>
        </is>
      </c>
      <c r="E9" s="40" t="inlineStr">
        <is>
          <t>3-5 páginas</t>
        </is>
      </c>
      <c r="F9" s="43" t="n"/>
      <c r="G9" s="44" t="inlineStr">
        <is>
          <t>Semana 15</t>
        </is>
      </c>
      <c r="H9" s="44" t="inlineStr">
        <is>
          <t>No Iniciado</t>
        </is>
      </c>
      <c r="I9" s="43" t="n"/>
      <c r="J9" s="43" t="inlineStr">
        <is>
          <t>No aplica: el equipo trabaja con metodología Ágil (Scrum), no Cascada.</t>
        </is>
      </c>
    </row>
    <row r="10" ht="42" customHeight="1" s="23">
      <c r="A10" s="40" t="inlineStr">
        <is>
          <t>Fase 1 (20%)</t>
        </is>
      </c>
      <c r="B10" s="46" t="inlineStr">
        <is>
          <t>Ágil</t>
        </is>
      </c>
      <c r="C10" s="42" t="inlineStr">
        <is>
          <t>Product Vision</t>
        </is>
      </c>
      <c r="D10" s="42" t="inlineStr">
        <is>
          <t>Define el problema, público objetivo, propuesta de valor central de la solución y los objetivos estratégicos iniciales.</t>
        </is>
      </c>
      <c r="E10" s="40" t="inlineStr">
        <is>
          <t>2 páginas</t>
        </is>
      </c>
      <c r="F10" s="43" t="inlineStr">
        <is>
          <t>Rodrigo Cárcamo Rojas</t>
        </is>
      </c>
      <c r="G10" s="44" t="inlineStr">
        <is>
          <t>Semana 3</t>
        </is>
      </c>
      <c r="H10" s="44" t="inlineStr">
        <is>
          <t>Completado</t>
        </is>
      </c>
      <c r="I10" s="43" t="n"/>
      <c r="J10" s="43" t="inlineStr">
        <is>
          <t>Cubierto por documento_de_visión_y_roles_scrum.docx y el Product Vision Board en FitSearch_Artefactos_Fase_Inicio.
12-10-2026: versión 1.1 de la visión, que incorpora la reserva básica de horas (E7) y la verificación de perfiles profesionales (FS-HU-12).</t>
        </is>
      </c>
    </row>
    <row r="11" ht="42" customHeight="1" s="23">
      <c r="A11" s="40" t="inlineStr">
        <is>
          <t>Fase 1 (20%)</t>
        </is>
      </c>
      <c r="B11" s="46" t="inlineStr">
        <is>
          <t>Ágil</t>
        </is>
      </c>
      <c r="C11" s="42" t="inlineStr">
        <is>
          <t>Product Backlog Priorizado</t>
        </is>
      </c>
      <c r="D11" s="42" t="inlineStr">
        <is>
          <t>Listado jerarquizado de historias de usuario con criterios de aceptación iniciales y estimación de esfuerzo/puntos de historia.</t>
        </is>
      </c>
      <c r="E11" s="40" t="inlineStr">
        <is>
          <t>Formato digital/Git</t>
        </is>
      </c>
      <c r="F11" s="43" t="inlineStr">
        <is>
          <t>Rodrigo Cárcamo Rojas</t>
        </is>
      </c>
      <c r="G11" s="44" t="inlineStr">
        <is>
          <t>Semana 4</t>
        </is>
      </c>
      <c r="H11" s="44" t="inlineStr">
        <is>
          <t>Completado</t>
        </is>
      </c>
      <c r="I11" s="43" t="n"/>
      <c r="J11" s="43" t="inlineStr">
        <is>
          <t>Cubierto por PMOInformatica_Plantilla_de_Product_Backlog.xlsx y la priorización por 100 puntos en Artefactos Fase Inicio. Al 03-10-2026 el Product Backlog tiene 24 historias (FS-HU-15 a FS-HU-20 agregadas en el Sprint 2 y FS-HU-21 a FS-HU-24 el 03-10-2026).
12-10-2026: el Documento Product Backlog (carpeta Sprint 1) pasa a la versión 1.1 con las 24 historias (117 puntos) y el Documento de Épicas e Historias de Usuario a la versión 1.6, con la imagen de cada una de las 24 historias.</t>
        </is>
      </c>
    </row>
    <row r="12" ht="42" customHeight="1" s="23">
      <c r="A12" s="40" t="inlineStr">
        <is>
          <t>Fase 2 (50%)</t>
        </is>
      </c>
      <c r="B12" s="46" t="inlineStr">
        <is>
          <t>Ágil</t>
        </is>
      </c>
      <c r="C12" s="42" t="inlineStr">
        <is>
          <t>Sprint Backlog</t>
        </is>
      </c>
      <c r="D12" s="42" t="inlineStr">
        <is>
          <t>Planificación de tareas específicas, asignación de responsabilidades y seguimiento del desarrollo incremental para cada Sprint del semestre.</t>
        </is>
      </c>
      <c r="E12" s="40" t="inlineStr">
        <is>
          <t>Formato Tablero</t>
        </is>
      </c>
      <c r="F12" s="43" t="inlineStr">
        <is>
          <t>Luis Méndez</t>
        </is>
      </c>
      <c r="G12" s="44" t="inlineStr">
        <is>
          <t>En cada Sprint</t>
        </is>
      </c>
      <c r="H12" s="44" t="inlineStr">
        <is>
          <t>En Proceso</t>
        </is>
      </c>
      <c r="I12" s="43" t="n"/>
      <c r="J12" s="43" t="inlineStr">
        <is>
          <t>Sprint 1: 11 tareas, 43 h estimadas y 43 h reales (Luis 15, Rodrigo 14, Nicolás 14). Documento Validando Sprint 1 completo con avances día a día, gráfico de avance y pila del producto actualizada; el Product Owner aceptó FS-HU-01 y FS-HU-02 el 24-09-2026 (columna A/R, con observaciones) y la retrospectiva quedó registrada el 24-09-2026; Luis Méndez aprobó la revisión posterior del código (PR #6) el 24-09-2026; Sprint 1 cerrado. Sprint 2: cerrado el 04-10-2026 con 30 tareas, 110 h estimadas y 92 h reales (Rodrigo Cárcamo Rojas 51, Nicolás Silva 23 y Luis Méndez 18), registradas al cierre según el trabajo entregado en GitHub; Documento Sprint Backlog 2, Documento Validando Sprint 2 y burndown del Sprint 2 en 'Sprint 2/'. El Product Owner aceptó FS-HU-02 (tipo de cuenta), FS-HU-03 y FS-HU-15 a FS-HU-20 el 03-10-2026; FS-HU-04 (PR #11 en corrección) y FS-HU-13 pasan al Sprint 3. Sprint 3 (desde el 05-10-2026): el Sprint Backlog 3 registra las tareas implementadas de FS-HU-04, FS-HU-05, FS-HU-06, FS-HU-12, FS-HU-13, FS-HU-14 y FS-HU-21 a FS-HU-24, y la configuración del SMTP de FS-HU-15. El Product Owner aceptó el 12-10-2026 FS-HU-04, FS-HU-05, FS-HU-12, FS-HU-13, FS-HU-14 y FS-HU-21 a FS-HU-24 (FS-HU-12 y FS-HU-14 con observaciones); FS-HU-06 queda pendiente de CP-078. Horas del Sprint 3 registradas el 12-10-2026 según el trabajo entregado en GitHub, con un máximo de 5 h por persona y día: 33 tareas, 65 h estimadas y 63 h registradas al día 8 (Rodrigo Cárcamo Rojas 37, Luis Méndez 23 y Nicolás Silva 3); Documento Sprint Backlog 3 y burndown del Sprint 3 en 'Sprint 3/'.</t>
        </is>
      </c>
    </row>
    <row r="13" ht="42" customHeight="1" s="23">
      <c r="A13" s="40" t="inlineStr">
        <is>
          <t>Fase 2 (50%)</t>
        </is>
      </c>
      <c r="B13" s="46" t="inlineStr">
        <is>
          <t>Ágil</t>
        </is>
      </c>
      <c r="C13" s="42" t="inlineStr">
        <is>
          <t>Definition of Done (DoD)</t>
        </is>
      </c>
      <c r="D13" s="42" t="inlineStr">
        <is>
          <t>Acuerdos explícitos y técnicos que debe cumplir cada incremento de software para considerarse finalizado con calidad.</t>
        </is>
      </c>
      <c r="E13" s="40" t="inlineStr">
        <is>
          <t>1 página</t>
        </is>
      </c>
      <c r="F13" s="43" t="inlineStr">
        <is>
          <t>Equipo completo</t>
        </is>
      </c>
      <c r="G13" s="44" t="inlineStr">
        <is>
          <t>Semana 5</t>
        </is>
      </c>
      <c r="H13" s="44" t="inlineStr">
        <is>
          <t>En Proceso</t>
        </is>
      </c>
      <c r="I13" s="43" t="n"/>
      <c r="J13" s="43" t="inlineStr">
        <is>
          <t>Documento FASE 2/Evidencias Proyecto/Evidencias de documentación/Definition_of_Done.docx (v1.6: 15 criterios por historia y 5 por sprint). Aprobado por Rodrigo Cárcamo Rojas (Product Owner) el 20-09-2026, por Luis Méndez (Scrum Master) el 22-09-2026 mediante el pull request #1 y por Nicolás Silva (Desarrollador) el 22-09-2026 mediante el pull request #5, ambos revisados y fusionados en GitHub.</t>
        </is>
      </c>
    </row>
    <row r="14" ht="42" customHeight="1" s="23">
      <c r="A14" s="40" t="inlineStr">
        <is>
          <t>Fase 2 (50%)</t>
        </is>
      </c>
      <c r="B14" s="46" t="inlineStr">
        <is>
          <t>Ágil</t>
        </is>
      </c>
      <c r="C14" s="42" t="inlineStr">
        <is>
          <t>Documento de Diseño</t>
        </is>
      </c>
      <c r="D14" s="42" t="inlineStr">
        <is>
          <t>Modelado de la arquitectura de software, modelo de datos físico, diagramas UML mínimos (secuencia, componentes, clases) y diseño de despliegue con Docker (común).</t>
        </is>
      </c>
      <c r="E14" s="40" t="inlineStr">
        <is>
          <t>10-15 páginas</t>
        </is>
      </c>
      <c r="F14" s="43" t="inlineStr">
        <is>
          <t>Equipo completo</t>
        </is>
      </c>
      <c r="G14" s="44" t="inlineStr">
        <is>
          <t>Semana 9</t>
        </is>
      </c>
      <c r="H14" s="44" t="inlineStr">
        <is>
          <t>En Proceso</t>
        </is>
      </c>
      <c r="I14" s="43" t="n"/>
      <c r="J14" s="43" t="inlineStr">
        <is>
          <t>Semana correcta: 9 (según rúbrica oficial 2_5_APT122_Sumativa_Avance_Fase2.pdf, no semana 10). Se compone de 2 piezas: (1) Guía 2.4 GuiaEstudiante_Fase_2 (resumen de avance, monitoreo plan de trabajo, ajustes) y (2) el Documento de Arquitectura del Sistema (DAS, modelo 4+1) como evidencia adjunta — ya tenemos las 4 vistas hechas en Miro. | 14-09-2026: DAS v1.0 completado con las vistas 4+1 (imágenes insertadas), modelo de datos, diccionario de datos con índices, escenarios de calidad, decisiones de diseño y reutilización. Pendiente: diagrama ER gráfico, alinear el diagrama de clases con el modelo de datos y completar la Guía 2.4. | 12-10-2026: DAS v1.22 en main (15 tablas, 12 implementadas; 12 ilustraciones, decisiones hasta D30 y escenarios QS1 a QS7). Incluye el diagrama UML de componentes (Ilustración 13) y el límite de reservas, fusionados con el PR #22. Guía 2.4 actualizada al 12-10-2026.
15-10-2026: DAS 1.23 con la SC-18 (decisión D31, que reemplaza a D8, e Ilustraciones 1, 9, 10 y 13 regeneradas) y Guía 2.4 actualizada con los PR #25 y #27.</t>
        </is>
      </c>
    </row>
    <row r="15" ht="42" customHeight="1" s="23">
      <c r="A15" s="40" t="inlineStr">
        <is>
          <t>Fase 2 (50%)</t>
        </is>
      </c>
      <c r="B15" s="46" t="inlineStr">
        <is>
          <t>Ágil</t>
        </is>
      </c>
      <c r="C15" s="42" t="inlineStr">
        <is>
          <t>Evidencia de Retrospectivas</t>
        </is>
      </c>
      <c r="D15" s="42" t="inlineStr">
        <is>
          <t>Registro de las sesiones de retrospectiva de cada Sprint, detallando qué funcionó, qué falló y las acciones de mejora acordadas por el equipo.</t>
        </is>
      </c>
      <c r="E15" s="40" t="inlineStr">
        <is>
          <t>2-3 páginas</t>
        </is>
      </c>
      <c r="F15" s="43" t="inlineStr">
        <is>
          <t>Luis Méndez</t>
        </is>
      </c>
      <c r="G15" s="44" t="inlineStr">
        <is>
          <t>En cada Sprint</t>
        </is>
      </c>
      <c r="H15" s="44" t="inlineStr">
        <is>
          <t>En Proceso</t>
        </is>
      </c>
      <c r="I15" s="43" t="n"/>
      <c r="J15" s="43" t="inlineStr">
        <is>
          <t>Sprint 1: retrospectiva escrita (asíncrona) registrada el 24-09-2026 en 'Sprint 1/Plantilla_Resumen_Reunion_Retrospectiva.docx', con las respuestas de los tres integrantes. Sprint 2: retrospectiva escrita (asíncrona) registrada el 12-10-2026 en 'Sprint 2/Plantilla_Resumen_Reunion_Retrospectiva.docx', con las respuestas de los tres integrantes.</t>
        </is>
      </c>
    </row>
    <row r="16" ht="42" customHeight="1" s="23">
      <c r="A16" s="40" t="inlineStr">
        <is>
          <t>Fase 2 (50%)</t>
        </is>
      </c>
      <c r="B16" s="46" t="inlineStr">
        <is>
          <t>Ágil</t>
        </is>
      </c>
      <c r="C16" s="42" t="inlineStr">
        <is>
          <t>Plan de Pruebas + Evidencias</t>
        </is>
      </c>
      <c r="D16" s="42" t="inlineStr">
        <is>
          <t>Casos de prueba de calidad (unitarias, integración, rendimiento, seguridad) ejecutados y versionados de manera iterativa por cada Sprint.</t>
        </is>
      </c>
      <c r="E16" s="40" t="inlineStr">
        <is>
          <t>5-8 páginas</t>
        </is>
      </c>
      <c r="F16" s="43" t="n"/>
      <c r="G16" s="44" t="inlineStr">
        <is>
          <t>Semana 15</t>
        </is>
      </c>
      <c r="H16" s="44" t="inlineStr">
        <is>
          <t>En Proceso</t>
        </is>
      </c>
      <c r="I16" s="43" t="n"/>
      <c r="J16" s="43" t="inlineStr">
        <is>
          <t>Planilla de Casos de Prueba: 80 casos (CP-001 a CP-080), 77 aprobados y 3 sin ejecutar (CP-024 y CP-025, acceso con Google; CP-078, mapa real en main). Registro de Defectos con 29 defectos: 26 corregidos y 3 abiertos (27 a 29, del mapa nuevo del PR #27). El 15-10-2026 se repitieron CP-076 y CP-077 con MapLibre (189/189 en el frontend); CP-078 sigue pendiente con el mapa nuevo. Comprobaciones con MySQL real: npm run test:mysql:agenda, 55/55 sobre main 662e79c el 12-10-2026. Evidencias en FASE 2/Evidencias Proyecto/Evidencias de documentación/Sprint N/Capturas del sistema. 19-10-2026: CP-081 a CP-087 (mejoras de interfaz, SC-19), todos aprobados → 87 casos, 84 aprobados y 3 sin ejecutar (CP-024, CP-025 y CP-078); defectos 30 a 34 corregidos → 34 defectos: 31 corregidos y 3 abiertos (27 a 29). Evidencias en Plan de Pruebas/Mejoras_Interfaz_2026-10-19*. 19-10-2026 (SC-20, reserva con calendario): CP-088 a CP-091 aprobados → 91 casos, 88 aprobados y 3 sin ejecutar. Evidencias en Plan de Pruebas/Flujo_Reservas_2026-10-19*. SC-21 (calendario al publicar horarios): CP-092 y CP-093 aprobados → 93 casos, 90 aprobados y 3 sin ejecutar. Evidencias en Plan de Pruebas/Publicar_Horario_2026-10-19*. Defecto 35 (mapa que se veía de lejos por una ubicación fuera de Chile) corregido con CP-094 → 94 casos, 91 aprobados y 3 sin ejecutar; 35 defectos: 32 corregidos y 3 abiertos. Evidencias en Plan de Pruebas/Mapa_Chile_2026-10-19*. SC-22 (detalle del profesional en el mapa): CP-095 y CP-096 aprobados y defecto 28 corregido → 96 casos, 93 aprobados y 3 sin ejecutar; 35 defectos: 33 corregidos y 2 abiertos (27 y 29). Evidencias en Plan de Pruebas/Detalle_Mapa_2026-10-19*. SC-23 (buscador general del Inicio): CP-097 y CP-098 aprobados → 98 casos, 95 aprobados y 3 sin ejecutar. Evidencias en Plan de Pruebas/Buscador_Inicio_2026-10-19*. SC-24 (dirección de atención y coordenadas en Chile en la ficha profesional): CP-099 y CP-100 aprobados → 100 casos, 97 aprobados y 3 sin ejecutar. Evidencias en Plan de Pruebas/Direccion_Ficha_2026-10-19*.</t>
        </is>
      </c>
    </row>
    <row r="17" ht="42" customHeight="1" s="23">
      <c r="A17" s="40" t="inlineStr">
        <is>
          <t>Fase 2 (50%)</t>
        </is>
      </c>
      <c r="B17" s="46" t="inlineStr">
        <is>
          <t>Ágil</t>
        </is>
      </c>
      <c r="C17" s="42" t="inlineStr">
        <is>
          <t>Manual Técnico y Despliegue</t>
        </is>
      </c>
      <c r="D17" s="42" t="inlineStr">
        <is>
          <t>Instrucciones detalladas de instalación, variables de entorno, configuración de docker-compose y procesos para levantar y ejecutar el sistema (común).</t>
        </is>
      </c>
      <c r="E17" s="40" t="inlineStr">
        <is>
          <t>3-5 páginas</t>
        </is>
      </c>
      <c r="F17" s="43" t="n"/>
      <c r="G17" s="44" t="inlineStr">
        <is>
          <t>Semana 15</t>
        </is>
      </c>
      <c r="H17" s="44" t="inlineStr">
        <is>
          <t>No Iniciado</t>
        </is>
      </c>
      <c r="I17" s="43" t="n"/>
      <c r="J17" s="43" t="inlineStr">
        <is>
          <t>Pendiente: instalación, variables de entorno, docker-compose y guía de despliegue.</t>
        </is>
      </c>
    </row>
    <row r="18" ht="42" customHeight="1" s="23">
      <c r="A18" s="40" t="inlineStr">
        <is>
          <t>Fase 2 (50%)</t>
        </is>
      </c>
      <c r="B18" s="46" t="inlineStr">
        <is>
          <t>Común</t>
        </is>
      </c>
      <c r="C18" s="42" t="inlineStr">
        <is>
          <t>Matriz de Control de Cambio</t>
        </is>
      </c>
      <c r="D18" s="42" t="inlineStr">
        <is>
          <t>Registro de cada solicitud de cambio del proyecto: solicitante, tipo (solicitud del cliente o corrección), urgencia, importancia, requerimiento y caso de uso relacionados, fase, impacto y aprobación.</t>
        </is>
      </c>
      <c r="E18" s="40" t="inlineStr">
        <is>
          <t>Formato planilla</t>
        </is>
      </c>
      <c r="F18" s="43" t="inlineStr">
        <is>
          <t>Rodrigo Cárcamo Rojas</t>
        </is>
      </c>
      <c r="G18" s="44" t="inlineStr">
        <is>
          <t>Por confirmar</t>
        </is>
      </c>
      <c r="H18" s="44" t="inlineStr">
        <is>
          <t>En Proceso</t>
        </is>
      </c>
      <c r="I18" s="43" t="n"/>
      <c r="J18" s="43" t="inlineStr">
        <is>
          <t>FASE 2/Evidencias Proyecto/Evidencias de documentación/Control del proyecto/Matriz_Control_de_Cambio_FitSearch.xlsx. Al 15-10-2026 registra 18 solicitudes (SC-01 a SC-18): 17 aceptadas y 1 rechazada (Google Places en FS-HU-03). Las SC-12 a SC-17 cubren el flujo y el espacio del profesional, el clima en su Inicio, el menú del usuario, la elección del perfil en una pantalla propia, el panel del administrador con FS-HU-12 en el Sprint 3 el límite de una reserva activa por usuario con cada profesional y el cambio del mapa a MapLibre GL JS con OpenFreeMap (SC-18, PR #27). El 19-10-2026 se agregó la SC-19 (mejoras de respuesta y movimiento de la interfaz, con los defectos 30 a 34): 19 solicitudes, 18 aceptadas y 1 rechazada. Ese mismo día se agregó la SC-20 (reserva con calendario en FS-HU-14): 20 solicitudes, 19 aceptadas y 1 rechazada. Luego, la SC-21 (calendario al publicar horarios en FS-HU-13): 21 solicitudes, 20 aceptadas y 1 rechazada. Luego, la SC-22 (detalle del profesional en la ventana del mapa, FS-HU-06): 22 solicitudes, 21 aceptadas y 1 rechazada. Luego, la SC-23 (buscador general del Inicio, FS-HU-21): 23 solicitudes, 22 aceptadas y 1 rechazada. Luego, la SC-24 (dirección de atención del profesional, FS-HU-04 y FS-HU-06): 24 solicitudes, 23 aceptadas y 1 rechazada. Se actualiza con cada cambio de alcance.</t>
        </is>
      </c>
    </row>
    <row r="19" ht="42" customHeight="1" s="23">
      <c r="A19" s="40" t="inlineStr">
        <is>
          <t>Fase 2 (50%)</t>
        </is>
      </c>
      <c r="B19" s="46" t="inlineStr">
        <is>
          <t>Común</t>
        </is>
      </c>
      <c r="C19" s="42" t="inlineStr">
        <is>
          <t>EDT y Análisis de Ingresos</t>
        </is>
      </c>
      <c r="D19" s="42" t="inlineStr">
        <is>
          <t>Estructura de descomposición de tareas por fase con horas por rol, diccionario de roles y costo de las horas-hombre según el análisis de ingresos del mercado.</t>
        </is>
      </c>
      <c r="E19" s="40" t="inlineStr">
        <is>
          <t>Formato planilla</t>
        </is>
      </c>
      <c r="F19" s="43" t="inlineStr">
        <is>
          <t>Equipo completo</t>
        </is>
      </c>
      <c r="G19" s="44" t="inlineStr">
        <is>
          <t>Por confirmar</t>
        </is>
      </c>
      <c r="H19" s="44" t="inlineStr">
        <is>
          <t>En Proceso</t>
        </is>
      </c>
      <c r="I19" s="43" t="n"/>
      <c r="J19" s="43" t="inlineStr">
        <is>
          <t>FASE 2/Evidencias Proyecto/Evidencias de documentación/Control del proyecto/EDT_Analisis_Ingresos_FitSearch.xlsx. Primera versión al 03-10-2026: 48 actividades, 957 HH y costo estimado de $3.773.056. Horas reales solo del Sprint 1; el resto son estimaciones que el equipo debe revisar.</t>
        </is>
      </c>
    </row>
  </sheetData>
  <dataValidations count="1">
    <dataValidation sqref="H5:H19" showDropDown="0" showInputMessage="0" showErrorMessage="0" allowBlank="1" type="list" errorStyle="stop" operator="between">
      <formula1>"No Iniciado,En Proceso,Completado,Bloqueado"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4:G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" zeroHeight="0" outlineLevelRow="0"/>
  <cols>
    <col width="10" customWidth="1" style="22" min="1" max="1"/>
    <col width="30" customWidth="1" style="22" min="2" max="2"/>
    <col width="50" customWidth="1" style="22" min="3" max="3"/>
    <col width="20" customWidth="1" style="22" min="4" max="4"/>
    <col width="22" customWidth="1" style="22" min="5" max="5"/>
    <col width="25" customWidth="1" style="22" min="6" max="6"/>
    <col width="35" customWidth="1" style="22" min="7" max="7"/>
  </cols>
  <sheetData>
    <row r="4" ht="30" customHeight="1" s="23">
      <c r="A4" s="39" t="inlineStr">
        <is>
          <t>N° Req</t>
        </is>
      </c>
      <c r="B4" s="39" t="inlineStr">
        <is>
          <t>Elemento Técnico Requerido</t>
        </is>
      </c>
      <c r="C4" s="39" t="inlineStr">
        <is>
          <t>Especificación Técnica Oficial (Instructivo CAPSTONE)</t>
        </is>
      </c>
      <c r="D4" s="39" t="inlineStr">
        <is>
          <t>Asignado a (Responsable)</t>
        </is>
      </c>
      <c r="E4" s="39" t="inlineStr">
        <is>
          <t>Estado de Implementación</t>
        </is>
      </c>
      <c r="F4" s="39" t="inlineStr">
        <is>
          <t>Enlace de Verificación / Repositorio</t>
        </is>
      </c>
      <c r="G4" s="39" t="inlineStr">
        <is>
          <t>Notas de Cumplimiento</t>
        </is>
      </c>
    </row>
    <row r="5" ht="39.75" customHeight="1" s="23">
      <c r="A5" s="40" t="inlineStr">
        <is>
          <t>1.1</t>
        </is>
      </c>
      <c r="B5" s="42" t="inlineStr">
        <is>
          <t>Arquitectura: Diagrama de arquitectura</t>
        </is>
      </c>
      <c r="C5" s="42" t="inlineStr">
        <is>
          <t>Diagrama lógico/físico de la solución estructurada, mostrando clientes, API Gateways, microservicios u otros componentes.</t>
        </is>
      </c>
      <c r="D5" s="43" t="n"/>
      <c r="E5" s="44" t="inlineStr">
        <is>
          <t>Implementado</t>
        </is>
      </c>
      <c r="F5" s="43" t="n"/>
      <c r="G5" s="43" t="inlineStr">
        <is>
          <t>DAS v1.24: Vista Física como diagrama de despliegue UML (Ilustración 10) y Vista Lógica por capas.</t>
        </is>
      </c>
    </row>
    <row r="6" ht="39.75" customHeight="1" s="23">
      <c r="A6" s="40" t="inlineStr">
        <is>
          <t>1.2</t>
        </is>
      </c>
      <c r="B6" s="42" t="inlineStr">
        <is>
          <t>Arquitectura: Definición de componentes</t>
        </is>
      </c>
      <c r="C6" s="42" t="inlineStr">
        <is>
          <t>Identificación y descripción de los servidores de aplicaciones, bases de datos y servicios utilizados.</t>
        </is>
      </c>
      <c r="D6" s="43" t="n"/>
      <c r="E6" s="44" t="inlineStr">
        <is>
          <t>Implementado</t>
        </is>
      </c>
      <c r="F6" s="43" t="n"/>
      <c r="G6" s="43" t="inlineStr">
        <is>
          <t>DAS v1.24, Vista Física: tabla de nodos y diagrama de despliegue UML (Nginx, Node.js/Express, MySQL 8, MapLibre GL JS con OpenFreeMap, API de Claude, Google Identity Services y servidor SMTP).</t>
        </is>
      </c>
    </row>
    <row r="7" ht="39.75" customHeight="1" s="23">
      <c r="A7" s="40" t="inlineStr">
        <is>
          <t>1.3</t>
        </is>
      </c>
      <c r="B7" s="42" t="inlineStr">
        <is>
          <t>Arquitectura: Comunicación entre servicios</t>
        </is>
      </c>
      <c r="C7" s="42" t="inlineStr">
        <is>
          <t>Especificación de los protocolos de comunicación (HTTP, REST, gRPC, colas de mensajería) entre las partes de la solución.</t>
        </is>
      </c>
      <c r="D7" s="43" t="n"/>
      <c r="E7" s="44" t="inlineStr">
        <is>
          <t>Implementado</t>
        </is>
      </c>
      <c r="F7" s="43" t="n"/>
      <c r="G7" s="43" t="inlineStr">
        <is>
          <t>DAS v1.24, Vista Física: tabla de comunicación y rutas del diagrama de despliegue (HTTPS/REST/JSON, JWT, TCP 3306, proxy Nginx, verificación de Google y SMTP con TLS).</t>
        </is>
      </c>
    </row>
    <row r="8" ht="39.75" customHeight="1" s="23">
      <c r="A8" s="40" t="inlineStr">
        <is>
          <t>2.1</t>
        </is>
      </c>
      <c r="B8" s="42" t="inlineStr">
        <is>
          <t>Modelo de Datos: ER Clásico / Documental</t>
        </is>
      </c>
      <c r="C8" s="42" t="inlineStr">
        <is>
          <t>Modelo Relacional (Entidad-Relación clásico) si se utiliza SQL, o Modelo Documental (diseño de colecciones/esquemas) si se utiliza NoSQL (MongoDB).</t>
        </is>
      </c>
      <c r="D8" s="43" t="n"/>
      <c r="E8" s="44" t="inlineStr">
        <is>
          <t>Implementado</t>
        </is>
      </c>
      <c r="F8" s="43" t="n"/>
      <c r="G8" s="43" t="inlineStr">
        <is>
          <t>Diagrama entidad-relación de las doce tablas implementadas al 12-10-2026 (Ilustración 4 del DAS v1.24, generado desde Diagramas (Miro)/Actualización Sprint 3); el modelo completo de quince tablas está en el diccionario de datos.</t>
        </is>
      </c>
    </row>
    <row r="9" ht="39.75" customHeight="1" s="23">
      <c r="A9" s="40" t="inlineStr">
        <is>
          <t>2.2</t>
        </is>
      </c>
      <c r="B9" s="42" t="inlineStr">
        <is>
          <t>Modelo de Datos: Diccionario de datos</t>
        </is>
      </c>
      <c r="C9" s="42" t="inlineStr">
        <is>
          <t>Definición detallada de tipos de datos, restricciones, claves primarias, foráneas e índices de la base de datos.</t>
        </is>
      </c>
      <c r="D9" s="43" t="n"/>
      <c r="E9" s="44" t="inlineStr">
        <is>
          <t>Implementado</t>
        </is>
      </c>
      <c r="F9" s="43" t="n"/>
      <c r="G9" s="43" t="inlineStr">
        <is>
          <t>DAS v1.24, Vista Lógica &gt; Diccionario de datos: 15 tablas con tipos, PK, FK, restricciones e índices.</t>
        </is>
      </c>
    </row>
    <row r="10" ht="39.75" customHeight="1" s="23">
      <c r="A10" s="40" t="inlineStr">
        <is>
          <t>3.1</t>
        </is>
      </c>
      <c r="B10" s="42" t="inlineStr">
        <is>
          <t>Diagramas UML: Casos de Uso</t>
        </is>
      </c>
      <c r="C10" s="42" t="inlineStr">
        <is>
          <t>Diagramación formal de los actores del sistema y las interacciones/funcionalidades requeridas para los procesos clave.</t>
        </is>
      </c>
      <c r="D10" s="43" t="n"/>
      <c r="E10" s="44" t="inlineStr">
        <is>
          <t>Implementado</t>
        </is>
      </c>
      <c r="F10" s="43" t="n"/>
      <c r="G10" s="43" t="inlineStr">
        <is>
          <t>DAS v1.24, Ilustración 1 (casos de uso CU-01 a CU-09 con «include» y «extend», actualizada al 15-10-2026) y tabla de casos de uso.</t>
        </is>
      </c>
    </row>
    <row r="11" ht="39.75" customHeight="1" s="23">
      <c r="A11" s="40" t="inlineStr">
        <is>
          <t>3.2</t>
        </is>
      </c>
      <c r="B11" s="42" t="inlineStr">
        <is>
          <t>Diagramas UML: Secuencia de funcionalidad principal</t>
        </is>
      </c>
      <c r="C11" s="42" t="inlineStr">
        <is>
          <t>Secuenciamiento lógico del flujo de datos y llamadas a métodos para la transacción o característica más importante de la solución.</t>
        </is>
      </c>
      <c r="D11" s="43" t="n"/>
      <c r="E11" s="44" t="inlineStr">
        <is>
          <t>Implementado</t>
        </is>
      </c>
      <c r="F11" s="43" t="n"/>
      <c r="G11" s="43" t="inlineStr">
        <is>
          <t>DAS v1.24, Vista de Procesos: secuencias del registro de comida (Ilustración 5), de la elección del perfil y el asistente (Ilustración 6, en tres partes), de la reserva con reservas simultáneas (Ilustración 7) y de la recuperación de contraseña (Ilustración 8); flujos de la verificación administrativa (Ilustración 11) y de la disponibilidad y las reservas (Ilustración 12).</t>
        </is>
      </c>
    </row>
    <row r="12" ht="39.75" customHeight="1" s="23">
      <c r="A12" s="40" t="inlineStr">
        <is>
          <t>3.3</t>
        </is>
      </c>
      <c r="B12" s="42" t="inlineStr">
        <is>
          <t>Diagramas UML: Componentes</t>
        </is>
      </c>
      <c r="C12" s="42" t="inlineStr">
        <is>
          <t>Diagrama que muestra la organización e interdependencia de los módulos de software en tiempo de ejecución.</t>
        </is>
      </c>
      <c r="D12" s="43" t="n"/>
      <c r="E12" s="44" t="inlineStr">
        <is>
          <t>Implementado</t>
        </is>
      </c>
      <c r="F12" s="43" t="n"/>
      <c r="G12" s="43" t="inlineStr">
        <is>
          <t>DAS v1.24, Ilustración 13: diagrama UML de componentes e interfaces (13_Componentes_UML), fusionado el 12-10-2026 (PR #22); complementa la Vista de Desarrollo (Ilustración 9).</t>
        </is>
      </c>
    </row>
    <row r="13" ht="39.75" customHeight="1" s="23">
      <c r="A13" s="40" t="inlineStr">
        <is>
          <t>3.4</t>
        </is>
      </c>
      <c r="B13" s="42" t="inlineStr">
        <is>
          <t>Diagramas UML: Clases (si corresponde)</t>
        </is>
      </c>
      <c r="C13" s="42" t="inlineStr">
        <is>
          <t>Modelo de clases orientado a objetos con sus propiedades, métodos y relaciones de herencia o asociación.</t>
        </is>
      </c>
      <c r="D13" s="43" t="n"/>
      <c r="E13" s="44" t="inlineStr">
        <is>
          <t>Implementado</t>
        </is>
      </c>
      <c r="F13" s="43" t="n"/>
      <c r="G13" s="43" t="inlineStr">
        <is>
          <t>DAS v1.24, Ilustración 2: asociaciones del modelo de clases del dominio (los atributos están en el diccionario de datos) y diagrama de estados de la reserva (Ilustración 3).</t>
        </is>
      </c>
    </row>
    <row r="14" ht="39.75" customHeight="1" s="23">
      <c r="A14" s="40" t="inlineStr">
        <is>
          <t>4.1</t>
        </is>
      </c>
      <c r="B14" s="42" t="inlineStr">
        <is>
          <t>Requisitos No Funcionales: Seguridad</t>
        </is>
      </c>
      <c r="C14" s="42" t="inlineStr">
        <is>
          <t>Estrategias de control de acceso, encriptación de datos sensibles y cumplimiento de estándares de seguridad OWASP.</t>
        </is>
      </c>
      <c r="D14" s="43" t="n"/>
      <c r="E14" s="44" t="inlineStr">
        <is>
          <t>En Desarrollo</t>
        </is>
      </c>
      <c r="F14" s="43" t="n"/>
      <c r="G14" s="43" t="inlineStr">
        <is>
          <t>Implementado en Sprint 1: JWT con expiración, contraseñas con bcryptjs, middleware de autenticación y rol, validación de entradas (express-validator), cabeceras seguras (helmet) y mensaje genérico ante credenciales incorrectas.</t>
        </is>
      </c>
    </row>
    <row r="15" ht="39.75" customHeight="1" s="23">
      <c r="A15" s="40" t="inlineStr">
        <is>
          <t>4.2</t>
        </is>
      </c>
      <c r="B15" s="42" t="inlineStr">
        <is>
          <t>Requisitos No Funcionales: Rendimiento</t>
        </is>
      </c>
      <c r="C15" s="42" t="inlineStr">
        <is>
          <t>Parámetros de tiempos de respuesta del backend, optimización de consultas y optimización de recursos de frontend.</t>
        </is>
      </c>
      <c r="D15" s="43" t="n"/>
      <c r="E15" s="44" t="inlineStr">
        <is>
          <t>Pendiente</t>
        </is>
      </c>
      <c r="F15" s="43" t="n"/>
      <c r="G15" s="43" t="n"/>
    </row>
    <row r="16" ht="39.75" customHeight="1" s="23">
      <c r="A16" s="40" t="inlineStr">
        <is>
          <t>4.3</t>
        </is>
      </c>
      <c r="B16" s="42" t="inlineStr">
        <is>
          <t>Requisitos No Funcionales: Escalabilidad y Disponibilidad</t>
        </is>
      </c>
      <c r="C16" s="42" t="inlineStr">
        <is>
          <t>Configuración para permitir el crecimiento del sistema en carga y estrategias para asegurar la alta disponibilidad del servicio.</t>
        </is>
      </c>
      <c r="D16" s="43" t="n"/>
      <c r="E16" s="44" t="inlineStr">
        <is>
          <t>Pendiente</t>
        </is>
      </c>
      <c r="F16" s="43" t="n"/>
      <c r="G16" s="43" t="n"/>
    </row>
    <row r="17" ht="39.75" customHeight="1" s="23">
      <c r="A17" s="40" t="inlineStr">
        <is>
          <t>4.4</t>
        </is>
      </c>
      <c r="B17" s="42" t="inlineStr">
        <is>
          <t>Requisitos No Funcionales: Portabilidad</t>
        </is>
      </c>
      <c r="C17" s="42" t="inlineStr">
        <is>
          <t>Garantizar el correcto funcionamiento homogéneo del sistema entre ambientes a través de la contenerización.</t>
        </is>
      </c>
      <c r="D17" s="43" t="n"/>
      <c r="E17" s="44" t="inlineStr">
        <is>
          <t>Pendiente</t>
        </is>
      </c>
      <c r="F17" s="43" t="n"/>
      <c r="G17" s="43" t="n"/>
    </row>
    <row r="18" ht="39.75" customHeight="1" s="23">
      <c r="A18" s="40" t="inlineStr">
        <is>
          <t>5.1</t>
        </is>
      </c>
      <c r="B18" s="42" t="inlineStr">
        <is>
          <t>Docker: Dockerfile(s)</t>
        </is>
      </c>
      <c r="C18" s="42" t="inlineStr">
        <is>
          <t>Creación y optimización de Dockerfiles multi-etapa (multi-stage) para compilar y ejecutar de forma segura cada microservicio o módulo.</t>
        </is>
      </c>
      <c r="D18" s="43" t="n"/>
      <c r="E18" s="44" t="inlineStr">
        <is>
          <t>Pendiente</t>
        </is>
      </c>
      <c r="F18" s="43" t="n"/>
      <c r="G18" s="43" t="n"/>
    </row>
    <row r="19" ht="39.75" customHeight="1" s="23">
      <c r="A19" s="40" t="inlineStr">
        <is>
          <t>5.2</t>
        </is>
      </c>
      <c r="B19" s="42" t="inlineStr">
        <is>
          <t>Docker: docker-compose</t>
        </is>
      </c>
      <c r="C19" s="42" t="inlineStr">
        <is>
          <t>Archivo docker-compose.yml completo que orqueste la base de datos, backend, frontend y servicios externos para levantarlos en un comando.</t>
        </is>
      </c>
      <c r="D19" s="43" t="n"/>
      <c r="E19" s="44" t="inlineStr">
        <is>
          <t>Pendiente</t>
        </is>
      </c>
      <c r="F19" s="43" t="n"/>
      <c r="G19" s="43" t="n"/>
    </row>
    <row r="20" ht="39.75" customHeight="1" s="23">
      <c r="A20" s="40" t="inlineStr">
        <is>
          <t>5.3</t>
        </is>
      </c>
      <c r="B20" s="42" t="inlineStr">
        <is>
          <t>Docker: Variables de Entorno (.env)</t>
        </is>
      </c>
      <c r="C20" s="42" t="inlineStr">
        <is>
          <t>Archivo .env de ejemplo (.env.example) para configurar puertos, credenciales de base de datos y llaves de APIs de manera segura.</t>
        </is>
      </c>
      <c r="D20" s="43" t="n"/>
      <c r="E20" s="44" t="inlineStr">
        <is>
          <t>En Desarrollo</t>
        </is>
      </c>
      <c r="F20" s="43" t="n"/>
      <c r="G20" s="43" t="inlineStr">
        <is>
          <t>backend/.env.example creado (puerto, DATABASE_URL, SHADOW_DATABASE_URL, JWT_SECRET, JWT_EXPIRES_IN, BCRYPT_COST). Falta el de docker-compose.</t>
        </is>
      </c>
    </row>
    <row r="21" ht="39.75" customHeight="1" s="23">
      <c r="A21" s="40" t="inlineStr">
        <is>
          <t>5.4</t>
        </is>
      </c>
      <c r="B21" s="42" t="inlineStr">
        <is>
          <t>Docker: Guía de despliegue en README.md</t>
        </is>
      </c>
      <c r="C21" s="42" t="inlineStr">
        <is>
          <t>Instrucciones paso a paso en el archivo principal del repositorio para clonar, configurar variables de entorno y levantar el sistema con Docker.</t>
        </is>
      </c>
      <c r="D21" s="43" t="n"/>
      <c r="E21" s="44" t="inlineStr">
        <is>
          <t>En Desarrollo</t>
        </is>
      </c>
      <c r="F21" s="43" t="n"/>
      <c r="G21" s="43" t="inlineStr">
        <is>
          <t>README.md con instalación local paso a paso (base de datos, backend, frontend y pruebas); falta la guía de despliegue con Docker.</t>
        </is>
      </c>
    </row>
    <row r="22" ht="39.75" customHeight="1" s="23">
      <c r="A22" s="40" t="inlineStr">
        <is>
          <t>6.1</t>
        </is>
      </c>
      <c r="B22" s="42" t="inlineStr">
        <is>
          <t>Pruebas: Unitarias</t>
        </is>
      </c>
      <c r="C22" s="42" t="inlineStr">
        <is>
          <t>Desarrollo y ejecución de pruebas unitarias sobre la lógica de negocio, buscando una cobertura de código adecuada.</t>
        </is>
      </c>
      <c r="D22" s="43" t="n"/>
      <c r="E22" s="44" t="inlineStr">
        <is>
          <t>En Desarrollo</t>
        </is>
      </c>
      <c r="F22" s="43" t="n"/>
      <c r="G22" s="43" t="inlineStr">
        <is>
          <t>Sprint 1: pruebas unitarias y de componentes con Jest (backend) y Vitest (frontend), todas aprobadas. Al 15-10-2026: 233 pruebas en el backend y 189 en el frontend, todas aprobadas. Al 19-10-2026: 241 en el backend y 231 en el frontend (mejoras de interfaz, SC-19; reserva con calendario, SC-20, y calendario al publicar horarios, SC-21; mapa limitado a Chile, defecto 35; detalle en el mapa, SC-22; buscador general, SC-23; dirección del profesional, SC-24), todas aprobadas.</t>
        </is>
      </c>
    </row>
    <row r="23" ht="39.75" customHeight="1" s="23">
      <c r="A23" s="40" t="inlineStr">
        <is>
          <t>6.2</t>
        </is>
      </c>
      <c r="B23" s="42" t="inlineStr">
        <is>
          <t>Pruebas: Integración</t>
        </is>
      </c>
      <c r="C23" s="42" t="inlineStr">
        <is>
          <t>Validación del correcto funcionamiento de las llamadas de API y la conexión real con la base de datos y servicios externos.</t>
        </is>
      </c>
      <c r="D23" s="43" t="n"/>
      <c r="E23" s="44" t="inlineStr">
        <is>
          <t>En Desarrollo</t>
        </is>
      </c>
      <c r="F23" s="43" t="n"/>
      <c r="G23" s="43" t="inlineStr">
        <is>
          <t>Pruebas de integración de la API con Supertest (datos simulados) y verificación de extremo a extremo con MySQL real: registro de usuario con hash bcrypt y guardado del perfil con su estimación calórica. Al 12-10-2026: comprobaciones de agenda y reservas contra MySQL real (npm run test:mysql:agenda, 55/55, incluido el límite de reservas), incluidas las reservas simultáneas.</t>
        </is>
      </c>
    </row>
    <row r="24" ht="39.75" customHeight="1" s="23">
      <c r="A24" s="40" t="inlineStr">
        <is>
          <t>6.3</t>
        </is>
      </c>
      <c r="B24" s="42" t="inlineStr">
        <is>
          <t>Pruebas: Rendimiento/Carga</t>
        </is>
      </c>
      <c r="C24" s="42" t="inlineStr">
        <is>
          <t>Pruebas básicas de estrés de endpoints de alta concurrencia para validar que el sistema no falle bajo carga moderada.</t>
        </is>
      </c>
      <c r="D24" s="43" t="n"/>
      <c r="E24" s="44" t="inlineStr">
        <is>
          <t>Pendiente</t>
        </is>
      </c>
      <c r="F24" s="43" t="n"/>
      <c r="G24" s="43" t="n"/>
    </row>
    <row r="25" ht="39.75" customHeight="1" s="23">
      <c r="A25" s="40" t="inlineStr">
        <is>
          <t>6.4</t>
        </is>
      </c>
      <c r="B25" s="42" t="inlineStr">
        <is>
          <t>Pruebas: Seguridad</t>
        </is>
      </c>
      <c r="C25" s="42" t="inlineStr">
        <is>
          <t>Escaneo automático de dependencias en busca de vulnerabilidades conocidas y validación de sanitización de inputs.</t>
        </is>
      </c>
      <c r="D25" s="43" t="n"/>
      <c r="E25" s="44" t="inlineStr">
        <is>
          <t>En Desarrollo</t>
        </is>
      </c>
      <c r="F25" s="43" t="n"/>
      <c r="G25" s="43" t="inlineStr">
        <is>
          <t>npm audit sin vulnerabilidades en backend y frontend (defecto 1 corregido); validación de entradas en backend y frontend.</t>
        </is>
      </c>
    </row>
    <row r="26" ht="39.75" customHeight="1" s="23">
      <c r="A26" s="40" t="inlineStr">
        <is>
          <t>7.1</t>
        </is>
      </c>
      <c r="B26" s="42" t="inlineStr">
        <is>
          <t>Innovación: Problema Resuelto</t>
        </is>
      </c>
      <c r="C26" s="42" t="inlineStr">
        <is>
          <t>Fundamentación detallada y contextualizada del problema que resuelve la solución, justificando su necesidad en el mercado.</t>
        </is>
      </c>
      <c r="D26" s="43" t="n"/>
      <c r="E26" s="44" t="inlineStr">
        <is>
          <t>Pendiente</t>
        </is>
      </c>
      <c r="F26" s="43" t="n"/>
      <c r="G26" s="43" t="n"/>
    </row>
    <row r="27" ht="39.75" customHeight="1" s="23">
      <c r="A27" s="40" t="inlineStr">
        <is>
          <t>7.2</t>
        </is>
      </c>
      <c r="B27" s="42" t="inlineStr">
        <is>
          <t>Innovación: Diferenciación técnica/funcional</t>
        </is>
      </c>
      <c r="C27" s="42" t="inlineStr">
        <is>
          <t>Argumentación clara de qué hace diferente y superior a la solución planteada en comparación con lo existente.</t>
        </is>
      </c>
      <c r="D27" s="43" t="n"/>
      <c r="E27" s="44" t="inlineStr">
        <is>
          <t>Pendiente</t>
        </is>
      </c>
      <c r="F27" s="43" t="n"/>
      <c r="G27" s="43" t="n"/>
    </row>
    <row r="28" ht="39.75" customHeight="1" s="23">
      <c r="A28" s="40" t="inlineStr">
        <is>
          <t>7.3</t>
        </is>
      </c>
      <c r="B28" s="42" t="inlineStr">
        <is>
          <t>Innovación: Propuesta de valor y utilidad</t>
        </is>
      </c>
      <c r="C28" s="42" t="inlineStr">
        <is>
          <t>Demostración de cómo el proyecto agrega valor tangible, automatiza u optimiza un proceso de negocio específico de la industria.</t>
        </is>
      </c>
      <c r="D28" s="43" t="n"/>
      <c r="E28" s="44" t="inlineStr">
        <is>
          <t>Pendiente</t>
        </is>
      </c>
      <c r="F28" s="43" t="n"/>
      <c r="G28" s="43" t="n"/>
    </row>
  </sheetData>
  <dataValidations count="1">
    <dataValidation sqref="E5:E28" showDropDown="0" showInputMessage="0" showErrorMessage="0" allowBlank="1" type="list" errorStyle="stop" operator="between">
      <formula1>"Pendiente,En Desarrollo,Implementado"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2026-08-10T14:35:45Z</dcterms:created>
  <dcterms:modified xmlns:dcterms="http://purl.org/dc/terms/" xmlns:xsi="http://www.w3.org/2001/XMLSchema-instance" xsi:type="dcterms:W3CDTF">2026-10-20T01:43:46Z</dcterms:modified>
  <cp:lastModifiedBy>Juanandres Hernandez Aliaga</cp:lastModifiedBy>
  <cp:revision>0</cp:revision>
</cp:coreProperties>
</file>