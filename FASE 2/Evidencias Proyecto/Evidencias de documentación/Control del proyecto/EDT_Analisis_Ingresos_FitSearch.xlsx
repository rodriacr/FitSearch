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92" windowHeight="5328" tabRatio="600" firstSheet="1" activeTab="0" autoFilterDateGrouping="1"/>
  </bookViews>
  <sheets>
    <sheet xmlns:r="http://schemas.openxmlformats.org/officeDocument/2006/relationships" name="EDT" sheetId="1" state="visible" r:id="rId1"/>
    <sheet xmlns:r="http://schemas.openxmlformats.org/officeDocument/2006/relationships" name="ANALISIS INGRES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 &quot;$&quot;* #,##0_ ;_ &quot;$&quot;* \-#,##0_ ;_ &quot;$&quot;* &quot;-&quot;_ ;_ @_ "/>
    <numFmt numFmtId="165" formatCode="#,##0&quot; h&quot;"/>
  </numFmts>
  <fonts count="2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C00000"/>
      <sz val="16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6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i val="1"/>
      <sz val="10"/>
    </font>
    <font>
      <name val="Calibri"/>
      <b val="1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0" fillId="0" borderId="0"/>
    <xf numFmtId="164" fontId="1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3" fillId="4" borderId="1" applyAlignment="1" pivotButton="0" quotePrefix="0" xfId="0">
      <alignment vertical="center"/>
    </xf>
    <xf numFmtId="0" fontId="3" fillId="4" borderId="0" pivotButton="0" quotePrefix="0" xfId="0"/>
    <xf numFmtId="0" fontId="4" fillId="4" borderId="1" applyAlignment="1" pivotButton="0" quotePrefix="0" xfId="0">
      <alignment vertical="center"/>
    </xf>
    <xf numFmtId="0" fontId="3" fillId="4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/>
    </xf>
    <xf numFmtId="0" fontId="6" fillId="5" borderId="1" pivotButton="0" quotePrefix="0" xfId="0"/>
    <xf numFmtId="0" fontId="3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9" fillId="3" borderId="1" pivotButton="0" quotePrefix="0" xfId="0"/>
    <xf numFmtId="0" fontId="11" fillId="2" borderId="1" pivotButton="0" quotePrefix="0" xfId="0"/>
    <xf numFmtId="0" fontId="11" fillId="2" borderId="1" applyAlignment="1" pivotButton="0" quotePrefix="0" xfId="0">
      <alignment horizontal="left" vertical="center"/>
    </xf>
    <xf numFmtId="164" fontId="0" fillId="2" borderId="1" pivotButton="0" quotePrefix="0" xfId="1"/>
    <xf numFmtId="0" fontId="12" fillId="2" borderId="1" pivotButton="0" quotePrefix="0" xfId="0"/>
    <xf numFmtId="0" fontId="0" fillId="3" borderId="1" pivotButton="0" quotePrefix="0" xfId="0"/>
    <xf numFmtId="164" fontId="0" fillId="2" borderId="1" pivotButton="0" quotePrefix="0" xfId="0"/>
    <xf numFmtId="0" fontId="13" fillId="2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5" borderId="1" applyAlignment="1" pivotButton="0" quotePrefix="0" xfId="0">
      <alignment horizontal="center"/>
    </xf>
    <xf numFmtId="0" fontId="15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6" fillId="2" borderId="1" applyAlignment="1" pivotButton="0" quotePrefix="0" xfId="0">
      <alignment horizontal="center" vertical="center"/>
    </xf>
    <xf numFmtId="0" fontId="17" fillId="6" borderId="1" pivotButton="0" quotePrefix="0" xfId="0"/>
    <xf numFmtId="164" fontId="18" fillId="2" borderId="1" pivotButton="0" quotePrefix="0" xfId="0"/>
    <xf numFmtId="0" fontId="18" fillId="6" borderId="1" pivotButton="0" quotePrefix="0" xfId="0"/>
    <xf numFmtId="164" fontId="18" fillId="2" borderId="1" pivotButton="0" quotePrefix="0" xfId="1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164" fontId="0" fillId="0" borderId="1" pivotButton="0" quotePrefix="0" xfId="1"/>
    <xf numFmtId="164" fontId="0" fillId="0" borderId="1" pivotButton="0" quotePrefix="0" xfId="0"/>
    <xf numFmtId="0" fontId="1" fillId="0" borderId="1" pivotButton="0" quotePrefix="0" xfId="0"/>
    <xf numFmtId="0" fontId="2" fillId="2" borderId="0" applyAlignment="1" pivotButton="0" quotePrefix="0" xfId="0">
      <alignment horizontal="left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6" fillId="5" borderId="2" applyAlignment="1" pivotButton="0" quotePrefix="0" xfId="0">
      <alignment horizontal="center" wrapText="1"/>
    </xf>
    <xf numFmtId="0" fontId="6" fillId="5" borderId="3" applyAlignment="1" pivotButton="0" quotePrefix="0" xfId="0">
      <alignment horizontal="center" wrapText="1"/>
    </xf>
    <xf numFmtId="0" fontId="6" fillId="5" borderId="4" applyAlignment="1" pivotButton="0" quotePrefix="0" xfId="0">
      <alignment horizontal="center" wrapText="1"/>
    </xf>
    <xf numFmtId="0" fontId="5" fillId="3" borderId="2" applyAlignment="1" pivotButton="0" quotePrefix="0" xfId="0">
      <alignment horizontal="left"/>
    </xf>
    <xf numFmtId="0" fontId="5" fillId="3" borderId="4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0" fontId="5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20" fillId="0" borderId="0" pivotButton="0" quotePrefix="0" xfId="0"/>
    <xf numFmtId="0" fontId="6" fillId="5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0" fillId="2" borderId="1" applyAlignment="1" pivotButton="0" quotePrefix="0" xfId="0">
      <alignment horizontal="center"/>
    </xf>
    <xf numFmtId="0" fontId="10" fillId="2" borderId="1" applyAlignment="1" pivotButton="0" quotePrefix="0" xfId="0">
      <alignment vertical="center" wrapText="1"/>
    </xf>
    <xf numFmtId="164" fontId="10" fillId="2" borderId="1" pivotButton="0" quotePrefix="0" xfId="0"/>
    <xf numFmtId="0" fontId="11" fillId="2" borderId="1" applyAlignment="1" pivotButton="0" quotePrefix="0" xfId="0">
      <alignment vertical="center" wrapText="1"/>
    </xf>
    <xf numFmtId="0" fontId="17" fillId="6" borderId="1" applyAlignment="1" pivotButton="0" quotePrefix="0" xfId="0">
      <alignment vertical="center" wrapText="1"/>
    </xf>
    <xf numFmtId="165" fontId="18" fillId="2" borderId="1" pivotButton="0" quotePrefix="0" xfId="0"/>
    <xf numFmtId="0" fontId="21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2" fillId="0" borderId="0" pivotButton="0" quotePrefix="0" xfId="0"/>
  </cellXfs>
  <cellStyles count="2">
    <cellStyle name="Normal" xfId="0" builtinId="0"/>
    <cellStyle name="Moneda [0]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twoCellAnchor editAs="oneCell">
    <from>
      <col>7</col>
      <colOff>123824</colOff>
      <row>3</row>
      <rowOff>38100</rowOff>
    </from>
    <to>
      <col>16</col>
      <colOff>228600</colOff>
      <row>15</row>
      <rowOff>57150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00724" y="657225"/>
          <a:ext cx="6962776" cy="2305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123825</colOff>
      <row>15</row>
      <rowOff>28575</rowOff>
    </from>
    <to>
      <col>9</col>
      <colOff>752475</colOff>
      <row>21</row>
      <rowOff>76201</rowOff>
    </to>
    <pic>
      <nvPicPr>
        <cNvPr id="3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238875" y="2886075"/>
          <a:ext cx="2152650" cy="11906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114300</colOff>
      <row>15</row>
      <rowOff>57150</rowOff>
    </from>
    <to>
      <col>16</col>
      <colOff>73025</colOff>
      <row>21</row>
      <rowOff>57150</rowOff>
    </to>
    <pic>
      <nvPicPr>
        <cNvPr id="4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515350" y="2914650"/>
          <a:ext cx="4530725" cy="1143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24</row>
      <rowOff>0</rowOff>
    </from>
    <to>
      <col>15</col>
      <colOff>581025</colOff>
      <row>31</row>
      <rowOff>142875</rowOff>
    </to>
    <pic>
      <nvPicPr>
        <cNvPr id="5" name="Imagen 4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115050" y="4381500"/>
          <a:ext cx="6677025" cy="1476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32</row>
      <rowOff>0</rowOff>
    </from>
    <to>
      <col>9</col>
      <colOff>495300</colOff>
      <row>39</row>
      <rowOff>0</rowOff>
    </to>
    <pic>
      <nvPicPr>
        <cNvPr id="6" name="Imagen 5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115050" y="5905500"/>
          <a:ext cx="2019300" cy="1323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552449</colOff>
      <row>32</row>
      <rowOff>47624</rowOff>
    </from>
    <to>
      <col>16</col>
      <colOff>695325</colOff>
      <row>36</row>
      <rowOff>57149</rowOff>
    </to>
    <pic>
      <nvPicPr>
        <cNvPr id="7" name="Imagen 6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8191499" y="5953124"/>
          <a:ext cx="5476876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581025</colOff>
      <row>36</row>
      <rowOff>104775</rowOff>
    </from>
    <to>
      <col>16</col>
      <colOff>735330</colOff>
      <row>38</row>
      <rowOff>152400</rowOff>
    </to>
    <pic>
      <nvPicPr>
        <cNvPr id="8" name="Imagen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8220075" y="6772275"/>
          <a:ext cx="5488305" cy="428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44</row>
      <rowOff>47624</rowOff>
    </from>
    <to>
      <col>17</col>
      <colOff>138755</colOff>
      <row>50</row>
      <rowOff>95047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05425" y="8524874"/>
          <a:ext cx="7758755" cy="11904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9525</colOff>
      <row>50</row>
      <rowOff>180975</rowOff>
    </from>
    <to>
      <col>12</col>
      <colOff>628096</colOff>
      <row>59</row>
      <rowOff>180761</rowOff>
    </to>
    <pic>
      <nvPicPr>
        <cNvPr id="11" name="Imagen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5314950" y="9801225"/>
          <a:ext cx="4428571" cy="17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73"/>
  <sheetViews>
    <sheetView zoomScaleNormal="100" zoomScalePageLayoutView="80" workbookViewId="0">
      <pane xSplit="1" ySplit="5" topLeftCell="B6" activePane="bottomRight" state="frozen"/>
      <selection pane="topRight"/>
      <selection pane="bottomLeft"/>
      <selection pane="bottomRight" activeCell="B28" sqref="B28"/>
    </sheetView>
  </sheetViews>
  <sheetFormatPr baseColWidth="8" defaultColWidth="11.42578125" defaultRowHeight="14.45" outlineLevelRow="2"/>
  <cols>
    <col width="62" customWidth="1" style="1" min="1" max="1"/>
    <col width="8" customWidth="1" style="29" min="2" max="2"/>
    <col width="7" customWidth="1" style="3" min="3" max="3"/>
    <col width="7" customWidth="1" style="3" min="4" max="4"/>
    <col width="7" customWidth="1" style="3" min="5" max="5"/>
    <col width="7" customWidth="1" style="3" min="6" max="6"/>
    <col width="7" customWidth="1" style="3" min="7" max="7"/>
    <col width="7" customWidth="1" style="3" min="8" max="8"/>
    <col width="3" customWidth="1" style="1" min="9" max="10"/>
    <col width="8" customWidth="1" min="10" max="10"/>
    <col width="30" customWidth="1" style="1" min="11" max="11"/>
    <col width="46" customWidth="1" style="1" min="12" max="12"/>
    <col width="18" customWidth="1" style="1" min="13" max="13"/>
  </cols>
  <sheetData>
    <row r="2" ht="26" customHeight="1">
      <c r="A2" s="45" t="inlineStr">
        <is>
          <t>EDT - Planilla Estructura de Descomposición de Tareas — FitSearch</t>
        </is>
      </c>
    </row>
    <row r="3">
      <c r="A3" s="60" t="inlineStr">
        <is>
          <t>Capstone PTY4614, sección 003D · Equipo: Rodrigo Cárcamo Rojas, Luis Méndez y Nicolás Silva · Estimación en horas-hombre (HH) al 03-10-2026</t>
        </is>
      </c>
    </row>
    <row r="4">
      <c r="A4" s="13" t="inlineStr">
        <is>
          <t>ACTIVIDADES</t>
        </is>
      </c>
      <c r="B4" s="61" t="n"/>
      <c r="C4" s="61" t="inlineStr">
        <is>
          <t>Horas por Actividad o entregable</t>
        </is>
      </c>
      <c r="D4" s="61" t="n"/>
      <c r="E4" s="61" t="n"/>
      <c r="F4" s="61" t="n"/>
      <c r="G4" s="61" t="n"/>
      <c r="H4" s="61" t="n"/>
      <c r="J4" s="61" t="inlineStr">
        <is>
          <t>DICCIONARIO EDT</t>
        </is>
      </c>
      <c r="K4" s="61" t="n"/>
      <c r="L4" s="61" t="n"/>
      <c r="M4" s="61" t="n"/>
    </row>
    <row r="5">
      <c r="A5" s="62" t="inlineStr">
        <is>
          <t>Fase Análisis y Planificación (Fase 1, semanas 1 a 4)</t>
        </is>
      </c>
      <c r="B5" s="11" t="inlineStr">
        <is>
          <t>Días</t>
        </is>
      </c>
      <c r="C5" s="11" t="inlineStr">
        <is>
          <t>JP</t>
        </is>
      </c>
      <c r="D5" s="11" t="inlineStr">
        <is>
          <t>AF</t>
        </is>
      </c>
      <c r="E5" s="11" t="inlineStr">
        <is>
          <t>PG</t>
        </is>
      </c>
      <c r="F5" s="11" t="inlineStr">
        <is>
          <t>DBA</t>
        </is>
      </c>
      <c r="G5" s="11" t="inlineStr">
        <is>
          <t>TS</t>
        </is>
      </c>
      <c r="H5" s="11" t="inlineStr">
        <is>
          <t>DI</t>
        </is>
      </c>
      <c r="J5" s="15" t="inlineStr">
        <is>
          <t>SIGLA</t>
        </is>
      </c>
      <c r="K5" s="15" t="inlineStr">
        <is>
          <t>ROL</t>
        </is>
      </c>
      <c r="L5" s="15" t="inlineStr">
        <is>
          <t>NOMBRE</t>
        </is>
      </c>
      <c r="M5" s="15" t="inlineStr">
        <is>
          <t>COSTO x HORA</t>
        </is>
      </c>
    </row>
    <row r="6" ht="28" customHeight="1">
      <c r="A6" s="63" t="inlineStr">
        <is>
          <t>Kick off y conformación del equipo Scrum (roles y acuerdos de trabajo)</t>
        </is>
      </c>
      <c r="B6" s="32" t="n">
        <v>0.5</v>
      </c>
      <c r="C6" s="64" t="n">
        <v>2</v>
      </c>
      <c r="D6" s="64" t="n">
        <v>2</v>
      </c>
      <c r="E6" s="64" t="n">
        <v>2</v>
      </c>
      <c r="F6" s="64" t="n"/>
      <c r="G6" s="64" t="n"/>
      <c r="H6" s="64" t="n"/>
      <c r="J6" s="65" t="inlineStr">
        <is>
          <t>JP</t>
        </is>
      </c>
      <c r="K6" s="65" t="inlineStr">
        <is>
          <t>JEFE DE PROYECTO (SCRUM MASTER)</t>
        </is>
      </c>
      <c r="L6" s="65" t="inlineStr">
        <is>
          <t>Luis Méndez</t>
        </is>
      </c>
      <c r="M6" s="66">
        <f>'ANALISIS INGRESOS'!G6</f>
        <v/>
      </c>
    </row>
    <row r="7" ht="28" customHeight="1">
      <c r="A7" s="63" t="inlineStr">
        <is>
          <t>Definición del problema, objetivos y visión del producto (Product Vision)</t>
        </is>
      </c>
      <c r="B7" s="32" t="n">
        <v>1</v>
      </c>
      <c r="C7" s="64" t="n">
        <v>2</v>
      </c>
      <c r="D7" s="64" t="n">
        <v>8</v>
      </c>
      <c r="E7" s="64" t="n"/>
      <c r="F7" s="64" t="n"/>
      <c r="G7" s="64" t="n"/>
      <c r="H7" s="64" t="n"/>
      <c r="J7" s="65" t="inlineStr">
        <is>
          <t>AF</t>
        </is>
      </c>
      <c r="K7" s="65" t="inlineStr">
        <is>
          <t>ANALISTA FUNCIONAL (PRODUCT OWNER)</t>
        </is>
      </c>
      <c r="L7" s="65" t="inlineStr">
        <is>
          <t>Rodrigo Cárcamo Rojas</t>
        </is>
      </c>
      <c r="M7" s="66">
        <f>'ANALISIS INGRESOS'!G7</f>
        <v/>
      </c>
    </row>
    <row r="8" ht="30" customHeight="1">
      <c r="A8" s="63" t="inlineStr">
        <is>
          <t>Épicas e historias de usuario con criterios de aceptación</t>
        </is>
      </c>
      <c r="B8" s="32" t="n">
        <v>1</v>
      </c>
      <c r="C8" s="64" t="n">
        <v>2</v>
      </c>
      <c r="D8" s="64" t="n">
        <v>10</v>
      </c>
      <c r="E8" s="64" t="n">
        <v>2</v>
      </c>
      <c r="F8" s="64" t="n"/>
      <c r="G8" s="64" t="n"/>
      <c r="H8" s="64" t="n"/>
      <c r="J8" s="65" t="inlineStr">
        <is>
          <t>PG</t>
        </is>
      </c>
      <c r="K8" s="65" t="inlineStr">
        <is>
          <t>PROGRAMADOR</t>
        </is>
      </c>
      <c r="L8" s="65" t="inlineStr">
        <is>
          <t>Rodrigo Cárcamo Rojas, Luis Méndez y Nicolás Silva</t>
        </is>
      </c>
      <c r="M8" s="66">
        <f>'ANALISIS INGRESOS'!G8</f>
        <v/>
      </c>
    </row>
    <row r="9" ht="30" customHeight="1">
      <c r="A9" s="63" t="inlineStr">
        <is>
          <t>Estimación (Planning Poker) y priorización del Product Backlog</t>
        </is>
      </c>
      <c r="B9" s="32" t="n">
        <v>0.5</v>
      </c>
      <c r="C9" s="64" t="n">
        <v>2</v>
      </c>
      <c r="D9" s="64" t="n">
        <v>2</v>
      </c>
      <c r="E9" s="64" t="n">
        <v>2</v>
      </c>
      <c r="F9" s="64" t="n"/>
      <c r="G9" s="64" t="n"/>
      <c r="H9" s="64" t="n"/>
      <c r="J9" s="65" t="inlineStr">
        <is>
          <t>DBA</t>
        </is>
      </c>
      <c r="K9" s="65" t="inlineStr">
        <is>
          <t>ADMIN. BASE DATOS</t>
        </is>
      </c>
      <c r="L9" s="65" t="inlineStr">
        <is>
          <t>Luis Méndez y Rodrigo Cárcamo Rojas</t>
        </is>
      </c>
      <c r="M9" s="66">
        <f>'ANALISIS INGRESOS'!G9</f>
        <v/>
      </c>
    </row>
    <row r="10" ht="30" customHeight="1">
      <c r="A10" s="63" t="inlineStr">
        <is>
          <t>Plan de trabajo, Carta Gantt y hoja de ruta</t>
        </is>
      </c>
      <c r="B10" s="32" t="n">
        <v>0.5</v>
      </c>
      <c r="C10" s="64" t="n">
        <v>6</v>
      </c>
      <c r="D10" s="64" t="n">
        <v>2</v>
      </c>
      <c r="E10" s="64" t="n"/>
      <c r="F10" s="64" t="n"/>
      <c r="G10" s="64" t="n"/>
      <c r="H10" s="64" t="n"/>
      <c r="J10" s="65" t="inlineStr">
        <is>
          <t>TS</t>
        </is>
      </c>
      <c r="K10" s="65" t="inlineStr">
        <is>
          <t>TESTING</t>
        </is>
      </c>
      <c r="L10" s="65" t="inlineStr">
        <is>
          <t>Equipo completo (cada responsable prueba su historia)</t>
        </is>
      </c>
      <c r="M10" s="66">
        <f>'ANALISIS INGRESOS'!G10</f>
        <v/>
      </c>
    </row>
    <row r="11" ht="30" customHeight="1">
      <c r="A11" s="63" t="inlineStr">
        <is>
          <t>Guía de la Fase 1 (Definición del Proyecto APT)</t>
        </is>
      </c>
      <c r="B11" s="32" t="n">
        <v>1</v>
      </c>
      <c r="C11" s="64" t="n">
        <v>3</v>
      </c>
      <c r="D11" s="64" t="n">
        <v>4</v>
      </c>
      <c r="E11" s="64" t="n">
        <v>2</v>
      </c>
      <c r="F11" s="64" t="n"/>
      <c r="G11" s="64" t="n"/>
      <c r="H11" s="64" t="n"/>
      <c r="J11" s="65" t="inlineStr">
        <is>
          <t>DI</t>
        </is>
      </c>
      <c r="K11" s="65" t="inlineStr">
        <is>
          <t>DISEÑADOR</t>
        </is>
      </c>
      <c r="L11" s="65" t="inlineStr">
        <is>
          <t>Nicolás Silva (interfaz) y Rodrigo Cárcamo Rojas (mockups)</t>
        </is>
      </c>
      <c r="M11" s="66">
        <f>'ANALISIS INGRESOS'!G11</f>
        <v/>
      </c>
    </row>
    <row r="12">
      <c r="A12" s="63" t="inlineStr">
        <is>
          <t>Presentación de la Fase 1 y aprobación del proyecto</t>
        </is>
      </c>
      <c r="B12" s="32" t="n">
        <v>0.5</v>
      </c>
      <c r="C12" s="64" t="n">
        <v>2</v>
      </c>
      <c r="D12" s="64" t="n">
        <v>2</v>
      </c>
      <c r="E12" s="64" t="n">
        <v>2</v>
      </c>
      <c r="F12" s="64" t="n"/>
      <c r="G12" s="64" t="n"/>
      <c r="H12" s="64" t="n">
        <v>2</v>
      </c>
    </row>
    <row r="13" ht="28" customHeight="1">
      <c r="A13" s="62" t="inlineStr">
        <is>
          <t>Fase Diseño (Fase 2, semanas 5 a 9, en paralelo con los sprints)</t>
        </is>
      </c>
      <c r="B13" s="11" t="inlineStr">
        <is>
          <t>Días</t>
        </is>
      </c>
      <c r="C13" s="11" t="inlineStr">
        <is>
          <t>JP</t>
        </is>
      </c>
      <c r="D13" s="11" t="inlineStr">
        <is>
          <t>AF</t>
        </is>
      </c>
      <c r="E13" s="11" t="inlineStr">
        <is>
          <t>PG</t>
        </is>
      </c>
      <c r="F13" s="11" t="inlineStr">
        <is>
          <t>DBA</t>
        </is>
      </c>
      <c r="G13" s="11" t="inlineStr">
        <is>
          <t>TS</t>
        </is>
      </c>
      <c r="H13" s="11" t="inlineStr">
        <is>
          <t>DI</t>
        </is>
      </c>
    </row>
    <row r="14" ht="28" customHeight="1">
      <c r="A14" s="63" t="inlineStr">
        <is>
          <t>Refinamiento del backlog y análisis de los requerimientos nuevos (13 historias agregadas)</t>
        </is>
      </c>
      <c r="B14" s="32" t="n">
        <v>1</v>
      </c>
      <c r="C14" s="64" t="n">
        <v>2</v>
      </c>
      <c r="D14" s="64" t="n">
        <v>12</v>
      </c>
      <c r="E14" s="64" t="n"/>
      <c r="F14" s="64" t="n"/>
      <c r="G14" s="64" t="n"/>
      <c r="H14" s="64" t="n"/>
      <c r="L14" s="54" t="inlineStr">
        <is>
          <t>COSTO POR FASE</t>
        </is>
      </c>
      <c r="M14" s="54" t="n"/>
    </row>
    <row r="15" ht="28" customHeight="1">
      <c r="A15" s="63" t="inlineStr">
        <is>
          <t>Diagramas UML del modelo 4+1 en Miro (casos de uso, clases, secuencia, componentes y despliegue)</t>
        </is>
      </c>
      <c r="B15" s="32" t="n">
        <v>1</v>
      </c>
      <c r="C15" s="64" t="n">
        <v>2</v>
      </c>
      <c r="D15" s="64" t="n">
        <v>4</v>
      </c>
      <c r="E15" s="64" t="n">
        <v>8</v>
      </c>
      <c r="F15" s="64" t="n"/>
      <c r="G15" s="64" t="n"/>
      <c r="H15" s="64" t="n"/>
      <c r="L15" s="67" t="inlineStr">
        <is>
          <t>Fase Análisis y Planificación</t>
        </is>
      </c>
      <c r="M15" s="66">
        <f>SUM(C6:C12)*$M$6+SUM(D6:D12)*$M$7+SUM(E6:E12)*$M$8+SUM(F6:F12)*$M$9+SUM(G6:G12)*$M$10+SUM(H6:H12)*$M$11</f>
        <v/>
      </c>
    </row>
    <row r="16" ht="28" customHeight="1">
      <c r="A16" s="63" t="inlineStr">
        <is>
          <t>Modelo de datos, diccionario y diagrama entidad-relación (14 tablas)</t>
        </is>
      </c>
      <c r="B16" s="32" t="n">
        <v>1</v>
      </c>
      <c r="C16" s="64" t="n"/>
      <c r="D16" s="64" t="n">
        <v>2</v>
      </c>
      <c r="E16" s="64" t="n"/>
      <c r="F16" s="64" t="n">
        <v>8</v>
      </c>
      <c r="G16" s="64" t="n"/>
      <c r="H16" s="64" t="n"/>
      <c r="L16" s="67" t="inlineStr">
        <is>
          <t>Fase Diseño</t>
        </is>
      </c>
      <c r="M16" s="66">
        <f>SUM(C14:C20)*$M$6+SUM(D14:D20)*$M$7+SUM(E14:E20)*$M$8+SUM(F14:F20)*$M$9+SUM(G14:G20)*$M$10+SUM(H14:H20)*$M$11</f>
        <v/>
      </c>
    </row>
    <row r="17" ht="28" customHeight="1">
      <c r="A17" s="63" t="inlineStr">
        <is>
          <t>Documento de Arquitectura del Sistema (DAS): decisiones de diseño y escenarios de calidad</t>
        </is>
      </c>
      <c r="B17" s="32" t="n">
        <v>1.5</v>
      </c>
      <c r="C17" s="64" t="n">
        <v>2</v>
      </c>
      <c r="D17" s="64" t="n">
        <v>4</v>
      </c>
      <c r="E17" s="64" t="n">
        <v>8</v>
      </c>
      <c r="F17" s="64" t="n">
        <v>2</v>
      </c>
      <c r="G17" s="64" t="n"/>
      <c r="H17" s="64" t="n"/>
      <c r="L17" s="67" t="inlineStr">
        <is>
          <t>Fase de Desarrollo</t>
        </is>
      </c>
      <c r="M17" s="66">
        <f>SUM(C22:C55)*$M$6+SUM(D22:D55)*$M$7+SUM(E22:E55)*$M$8+SUM(F22:F55)*$M$9+SUM(G22:G55)*$M$10+SUM(H22:H55)*$M$11</f>
        <v/>
      </c>
    </row>
    <row r="18" ht="28" customHeight="1">
      <c r="A18" s="63" t="inlineStr">
        <is>
          <t>Diseño de interfaz: identidad visual (logo y paleta) y mockups de pantallas</t>
        </is>
      </c>
      <c r="B18" s="32" t="n">
        <v>1.5</v>
      </c>
      <c r="C18" s="64" t="n"/>
      <c r="D18" s="64" t="n">
        <v>4</v>
      </c>
      <c r="E18" s="64" t="n"/>
      <c r="F18" s="64" t="n"/>
      <c r="G18" s="64" t="n"/>
      <c r="H18" s="64" t="n">
        <v>16</v>
      </c>
      <c r="L18" s="67" t="inlineStr">
        <is>
          <t>Fase Implementación y Cierre</t>
        </is>
      </c>
      <c r="M18" s="66">
        <f>SUM(C57:C63)*$M$6+SUM(D57:D63)*$M$7+SUM(E57:E63)*$M$8+SUM(F57:F63)*$M$9+SUM(G57:G63)*$M$10+SUM(H57:H63)*$M$11</f>
        <v/>
      </c>
    </row>
    <row r="19">
      <c r="A19" s="63" t="inlineStr">
        <is>
          <t>Definition of Done (acuerdo y aprobación del equipo)</t>
        </is>
      </c>
      <c r="B19" s="32" t="n">
        <v>0.5</v>
      </c>
      <c r="C19" s="64" t="n">
        <v>2</v>
      </c>
      <c r="D19" s="64" t="n">
        <v>2</v>
      </c>
      <c r="E19" s="64" t="n">
        <v>2</v>
      </c>
      <c r="F19" s="64" t="n"/>
      <c r="G19" s="64" t="n"/>
      <c r="H19" s="64" t="n"/>
      <c r="L19" s="68" t="inlineStr">
        <is>
          <t>Total costo HH del proyecto</t>
        </is>
      </c>
      <c r="M19" s="36">
        <f>SUM(M15:M18)</f>
        <v/>
      </c>
    </row>
    <row r="20">
      <c r="A20" s="63" t="inlineStr">
        <is>
          <t>Plan de pruebas y planilla de casos de prueba</t>
        </is>
      </c>
      <c r="B20" s="32" t="n">
        <v>1</v>
      </c>
      <c r="C20" s="64" t="n"/>
      <c r="D20" s="64" t="n">
        <v>2</v>
      </c>
      <c r="E20" s="64" t="n"/>
      <c r="F20" s="64" t="n"/>
      <c r="G20" s="64" t="n">
        <v>8</v>
      </c>
      <c r="H20" s="64" t="n"/>
    </row>
    <row r="21">
      <c r="A21" s="62" t="inlineStr">
        <is>
          <t>Fase de Desarrollo (Fase 2, Sprints 1 a 5, semanas 5 a 15)</t>
        </is>
      </c>
      <c r="B21" s="11" t="inlineStr">
        <is>
          <t>Días</t>
        </is>
      </c>
      <c r="C21" s="11" t="inlineStr">
        <is>
          <t>JP</t>
        </is>
      </c>
      <c r="D21" s="11" t="inlineStr">
        <is>
          <t>AF</t>
        </is>
      </c>
      <c r="E21" s="11" t="inlineStr">
        <is>
          <t>PG</t>
        </is>
      </c>
      <c r="F21" s="11" t="inlineStr">
        <is>
          <t>DBA</t>
        </is>
      </c>
      <c r="G21" s="11" t="inlineStr">
        <is>
          <t>TS</t>
        </is>
      </c>
      <c r="H21" s="11" t="inlineStr">
        <is>
          <t>DI</t>
        </is>
      </c>
      <c r="L21" s="54" t="inlineStr">
        <is>
          <t>COSTO HH POR ROL</t>
        </is>
      </c>
      <c r="M21" s="54" t="n"/>
    </row>
    <row r="22" ht="28" customHeight="1">
      <c r="A22" s="63" t="inlineStr">
        <is>
          <t>Implementación del ambiente de desarrollo (GitHub con rama main protegida, Node.js, React + Vite, MySQL 8 y Prisma)</t>
        </is>
      </c>
      <c r="B22" s="32" t="n">
        <v>0.5</v>
      </c>
      <c r="C22" s="64" t="n">
        <v>1</v>
      </c>
      <c r="D22" s="64" t="n"/>
      <c r="E22" s="64" t="n">
        <v>3</v>
      </c>
      <c r="F22" s="64" t="n">
        <v>2</v>
      </c>
      <c r="G22" s="64" t="n"/>
      <c r="H22" s="64" t="n"/>
      <c r="L22" s="67" t="inlineStr">
        <is>
          <t>JEFE DE PROYECTO (SCRUM MASTER)</t>
        </is>
      </c>
      <c r="M22" s="66">
        <f>C65*$M$6</f>
        <v/>
      </c>
    </row>
    <row r="23" ht="28" customHeight="1">
      <c r="A23" s="63" t="inlineStr">
        <is>
          <t>Ceremonias Scrum de los 5 sprints (planificación, revisión y retrospectiva)</t>
        </is>
      </c>
      <c r="B23" s="32" t="n">
        <v>4.5</v>
      </c>
      <c r="C23" s="64" t="n">
        <v>20</v>
      </c>
      <c r="D23" s="64" t="n">
        <v>15</v>
      </c>
      <c r="E23" s="64" t="n">
        <v>20</v>
      </c>
      <c r="F23" s="64" t="n"/>
      <c r="G23" s="64" t="n"/>
      <c r="H23" s="64" t="n"/>
      <c r="L23" s="67" t="inlineStr">
        <is>
          <t>ANALISTA FUNCIONAL (PRODUCT OWNER)</t>
        </is>
      </c>
      <c r="M23" s="66">
        <f>D65*$M$7</f>
        <v/>
      </c>
    </row>
    <row r="24" ht="28" customHeight="1">
      <c r="A24" s="63" t="inlineStr">
        <is>
          <t>Revisión de código, pull requests y aceptación del Product Owner (DoD)</t>
        </is>
      </c>
      <c r="B24" s="32" t="n">
        <v>3</v>
      </c>
      <c r="C24" s="64" t="n"/>
      <c r="D24" s="64" t="n">
        <v>12</v>
      </c>
      <c r="E24" s="64" t="n">
        <v>23</v>
      </c>
      <c r="F24" s="64" t="n"/>
      <c r="G24" s="64" t="n"/>
      <c r="H24" s="64" t="n"/>
      <c r="L24" s="67" t="inlineStr">
        <is>
          <t>PROGRAMADOR</t>
        </is>
      </c>
      <c r="M24" s="66">
        <f>E65*$M$8</f>
        <v/>
      </c>
    </row>
    <row r="25">
      <c r="A25" s="17" t="inlineStr">
        <is>
          <t>E1 Gestión de usuarios</t>
        </is>
      </c>
      <c r="B25" s="64" t="n"/>
      <c r="C25" s="64" t="n"/>
      <c r="D25" s="64" t="n"/>
      <c r="E25" s="64" t="n"/>
      <c r="F25" s="64" t="n"/>
      <c r="G25" s="64" t="n"/>
      <c r="H25" s="64" t="n"/>
      <c r="L25" s="67" t="inlineStr">
        <is>
          <t>ADMIN. BASE DATOS</t>
        </is>
      </c>
      <c r="M25" s="66">
        <f>F65*$M$9</f>
        <v/>
      </c>
    </row>
    <row r="26">
      <c r="A26" s="63" t="inlineStr">
        <is>
          <t>FS-HU-01 Registro y login (Sprint 1, horas reales)</t>
        </is>
      </c>
      <c r="B26" s="32" t="n">
        <v>2</v>
      </c>
      <c r="C26" s="64" t="n"/>
      <c r="D26" s="64" t="n"/>
      <c r="E26" s="64" t="n">
        <v>17</v>
      </c>
      <c r="F26" s="64" t="n"/>
      <c r="G26" s="64" t="n">
        <v>5</v>
      </c>
      <c r="H26" s="64" t="n"/>
      <c r="L26" s="67" t="inlineStr">
        <is>
          <t>TESTING</t>
        </is>
      </c>
      <c r="M26" s="66">
        <f>G65*$M$10</f>
        <v/>
      </c>
    </row>
    <row r="27">
      <c r="A27" s="63" t="inlineStr">
        <is>
          <t>FS-HU-02 Datos básicos del perfil (Sprint 1, horas reales)</t>
        </is>
      </c>
      <c r="B27" s="32" t="n">
        <v>2</v>
      </c>
      <c r="C27" s="64" t="n"/>
      <c r="D27" s="64" t="n"/>
      <c r="E27" s="64" t="n">
        <v>9</v>
      </c>
      <c r="F27" s="64" t="n">
        <v>10</v>
      </c>
      <c r="G27" s="64" t="n">
        <v>2</v>
      </c>
      <c r="H27" s="64" t="n"/>
      <c r="L27" s="67" t="inlineStr">
        <is>
          <t>DISEÑADOR</t>
        </is>
      </c>
      <c r="M27" s="66">
        <f>H65*$M$11</f>
        <v/>
      </c>
    </row>
    <row r="28">
      <c r="A28" s="63" t="inlineStr">
        <is>
          <t>FS-HU-15 Recuperar contraseña (Sprint 2)</t>
        </is>
      </c>
      <c r="B28" s="32" t="n">
        <v>2</v>
      </c>
      <c r="C28" s="64" t="n"/>
      <c r="D28" s="64" t="n">
        <v>1</v>
      </c>
      <c r="E28" s="64" t="n">
        <v>15</v>
      </c>
      <c r="F28" s="64" t="n">
        <v>4</v>
      </c>
      <c r="G28" s="64" t="n">
        <v>4</v>
      </c>
      <c r="H28" s="64" t="n">
        <v>3</v>
      </c>
      <c r="L28" s="68" t="inlineStr">
        <is>
          <t>TOTAL HH</t>
        </is>
      </c>
      <c r="M28" s="36">
        <f>SUM(M22:M27)</f>
        <v/>
      </c>
    </row>
    <row r="29">
      <c r="A29" s="63" t="inlineStr">
        <is>
          <t>FS-HU-16 Acceso con Google (Sprint 2)</t>
        </is>
      </c>
      <c r="B29" s="32" t="n">
        <v>2</v>
      </c>
      <c r="C29" s="64" t="n"/>
      <c r="D29" s="64" t="n">
        <v>3</v>
      </c>
      <c r="E29" s="64" t="n">
        <v>16</v>
      </c>
      <c r="F29" s="64" t="n">
        <v>1</v>
      </c>
      <c r="G29" s="64" t="n">
        <v>5</v>
      </c>
      <c r="H29" s="64" t="n">
        <v>2</v>
      </c>
      <c r="L29" s="68" t="inlineStr">
        <is>
          <t>Total horas-hombre del proyecto</t>
        </is>
      </c>
      <c r="M29" s="69">
        <f>SUM(C65:H65)</f>
        <v/>
      </c>
    </row>
    <row r="30" ht="28" customHeight="1">
      <c r="A30" s="63" t="inlineStr">
        <is>
          <t>FS-HU-17 Registro con contraseña confirmada y sesión recordada (Sprint 2)</t>
        </is>
      </c>
      <c r="B30" s="32" t="n">
        <v>1.5</v>
      </c>
      <c r="C30" s="64" t="n"/>
      <c r="D30" s="64" t="n">
        <v>1</v>
      </c>
      <c r="E30" s="64" t="n">
        <v>9</v>
      </c>
      <c r="F30" s="64" t="n">
        <v>2</v>
      </c>
      <c r="G30" s="64" t="n">
        <v>2</v>
      </c>
      <c r="H30" s="64" t="n">
        <v>2</v>
      </c>
    </row>
    <row r="31">
      <c r="A31" s="63" t="inlineStr">
        <is>
          <t>FS-HU-18 Objetivos y estilo de vida (Sprint 2)</t>
        </is>
      </c>
      <c r="B31" s="32" t="n">
        <v>1.5</v>
      </c>
      <c r="C31" s="64" t="n"/>
      <c r="D31" s="64" t="n">
        <v>1</v>
      </c>
      <c r="E31" s="64" t="n">
        <v>9</v>
      </c>
      <c r="F31" s="64" t="n">
        <v>2</v>
      </c>
      <c r="G31" s="64" t="n">
        <v>2</v>
      </c>
      <c r="H31" s="64" t="n">
        <v>2</v>
      </c>
      <c r="L31" s="54" t="inlineStr">
        <is>
          <t>COSTO POR COMPONENTE CODIFICACION</t>
        </is>
      </c>
      <c r="M31" s="54" t="n"/>
    </row>
    <row r="32">
      <c r="A32" s="63" t="inlineStr">
        <is>
          <t>FS-HU-19 Información de salud (Sprint 2)</t>
        </is>
      </c>
      <c r="B32" s="32" t="n">
        <v>2</v>
      </c>
      <c r="C32" s="64" t="n"/>
      <c r="D32" s="64" t="n">
        <v>1</v>
      </c>
      <c r="E32" s="64" t="n">
        <v>15</v>
      </c>
      <c r="F32" s="64" t="n">
        <v>4</v>
      </c>
      <c r="G32" s="64" t="n">
        <v>4</v>
      </c>
      <c r="H32" s="64" t="n">
        <v>3</v>
      </c>
      <c r="L32" s="67" t="inlineStr">
        <is>
          <t>E1 Gestión de usuarios</t>
        </is>
      </c>
      <c r="M32" s="66">
        <f>SUM(C26:C34)*$M$6+SUM(D26:D34)*$M$7+SUM(E26:E34)*$M$8+SUM(F26:F34)*$M$9+SUM(G26:G34)*$M$10+SUM(H26:H34)*$M$11</f>
        <v/>
      </c>
    </row>
    <row r="33">
      <c r="A33" s="63" t="inlineStr">
        <is>
          <t>FS-HU-20 Portada pública (Sprint 2)</t>
        </is>
      </c>
      <c r="B33" s="32" t="n">
        <v>1</v>
      </c>
      <c r="C33" s="64" t="n"/>
      <c r="D33" s="64" t="n">
        <v>1</v>
      </c>
      <c r="E33" s="64" t="n">
        <v>5</v>
      </c>
      <c r="F33" s="64" t="n"/>
      <c r="G33" s="64" t="n">
        <v>2</v>
      </c>
      <c r="H33" s="64" t="n">
        <v>3</v>
      </c>
      <c r="L33" s="67" t="inlineStr">
        <is>
          <t>E2 Profesionales</t>
        </is>
      </c>
      <c r="M33" s="66">
        <f>SUM(C36:C40)*$M$6+SUM(D36:D40)*$M$7+SUM(E36:E40)*$M$8+SUM(F36:F40)*$M$9+SUM(G36:G40)*$M$10+SUM(H36:H40)*$M$11</f>
        <v/>
      </c>
    </row>
    <row r="34">
      <c r="A34" s="63" t="inlineStr">
        <is>
          <t>FS-HU-21 Inicio personalizado y navegación (Sprint 3)</t>
        </is>
      </c>
      <c r="B34" s="32" t="n">
        <v>2</v>
      </c>
      <c r="C34" s="64" t="n"/>
      <c r="D34" s="64" t="n">
        <v>1</v>
      </c>
      <c r="E34" s="64" t="n">
        <v>14</v>
      </c>
      <c r="F34" s="64" t="n"/>
      <c r="G34" s="64" t="n">
        <v>4</v>
      </c>
      <c r="H34" s="64" t="n">
        <v>8</v>
      </c>
      <c r="L34" s="67" t="inlineStr">
        <is>
          <t>E3 Búsqueda geolocalizada</t>
        </is>
      </c>
      <c r="M34" s="66">
        <f>SUM(C42:C44)*$M$6+SUM(D42:D44)*$M$7+SUM(E42:E44)*$M$8+SUM(F42:F44)*$M$9+SUM(G42:G44)*$M$10+SUM(H42:H44)*$M$11</f>
        <v/>
      </c>
    </row>
    <row r="35">
      <c r="A35" s="17" t="inlineStr">
        <is>
          <t>E2 Profesionales</t>
        </is>
      </c>
      <c r="B35" s="64" t="n"/>
      <c r="C35" s="64" t="n"/>
      <c r="D35" s="64" t="n"/>
      <c r="E35" s="64" t="n"/>
      <c r="F35" s="64" t="n"/>
      <c r="G35" s="64" t="n"/>
      <c r="H35" s="64" t="n"/>
      <c r="L35" s="67" t="inlineStr">
        <is>
          <t>E4 Asistente de inteligencia artificial</t>
        </is>
      </c>
      <c r="M35" s="66">
        <f>SUM(C46:C47)*$M$6+SUM(D46:D47)*$M$7+SUM(E46:E47)*$M$8+SUM(F46:F47)*$M$9+SUM(G46:G47)*$M$10+SUM(H46:H47)*$M$11</f>
        <v/>
      </c>
    </row>
    <row r="36">
      <c r="A36" s="63" t="inlineStr">
        <is>
          <t>FS-HU-03 Listado de profesionales (Sprint 2)</t>
        </is>
      </c>
      <c r="B36" s="32" t="n">
        <v>2</v>
      </c>
      <c r="C36" s="64" t="n"/>
      <c r="D36" s="64" t="n">
        <v>1</v>
      </c>
      <c r="E36" s="64" t="n">
        <v>15</v>
      </c>
      <c r="F36" s="64" t="n">
        <v>4</v>
      </c>
      <c r="G36" s="64" t="n">
        <v>4</v>
      </c>
      <c r="H36" s="64" t="n">
        <v>3</v>
      </c>
      <c r="L36" s="67" t="inlineStr">
        <is>
          <t>E5 Gestor de alimentación</t>
        </is>
      </c>
      <c r="M36" s="66">
        <f>SUM(C49:C50)*$M$6+SUM(D49:D50)*$M$7+SUM(E49:E50)*$M$8+SUM(F49:F50)*$M$9+SUM(G49:G50)*$M$10+SUM(H49:H50)*$M$11</f>
        <v/>
      </c>
    </row>
    <row r="37">
      <c r="A37" s="63" t="inlineStr">
        <is>
          <t>FS-HU-04 Perfil de profesional (Sprint 2)</t>
        </is>
      </c>
      <c r="B37" s="32" t="n">
        <v>2</v>
      </c>
      <c r="C37" s="64" t="n"/>
      <c r="D37" s="64" t="n">
        <v>1</v>
      </c>
      <c r="E37" s="64" t="n">
        <v>15</v>
      </c>
      <c r="F37" s="64" t="n">
        <v>4</v>
      </c>
      <c r="G37" s="64" t="n">
        <v>4</v>
      </c>
      <c r="H37" s="64" t="n">
        <v>3</v>
      </c>
      <c r="L37" s="67" t="inlineStr">
        <is>
          <t>E6 Infraestructura</t>
        </is>
      </c>
      <c r="M37" s="66">
        <f>SUM(C52:C52)*$M$6+SUM(D52:D52)*$M$7+SUM(E52:E52)*$M$8+SUM(F52:F52)*$M$9+SUM(G52:G52)*$M$10+SUM(H52:H52)*$M$11</f>
        <v/>
      </c>
    </row>
    <row r="38" ht="28" customHeight="1">
      <c r="A38" s="63" t="inlineStr">
        <is>
          <t>FS-HU-12 Verificar perfiles profesionales (Sprint 5, si hay capacidad)</t>
        </is>
      </c>
      <c r="B38" s="32" t="n">
        <v>1.5</v>
      </c>
      <c r="C38" s="64" t="n"/>
      <c r="D38" s="64" t="n">
        <v>1</v>
      </c>
      <c r="E38" s="64" t="n">
        <v>9</v>
      </c>
      <c r="F38" s="64" t="n">
        <v>2</v>
      </c>
      <c r="G38" s="64" t="n">
        <v>2</v>
      </c>
      <c r="H38" s="64" t="n">
        <v>2</v>
      </c>
      <c r="L38" s="67" t="inlineStr">
        <is>
          <t>E7 Reservas</t>
        </is>
      </c>
      <c r="M38" s="66">
        <f>SUM(C54:C55)*$M$6+SUM(D54:D55)*$M$7+SUM(E54:E55)*$M$8+SUM(F54:F55)*$M$9+SUM(G54:G55)*$M$10+SUM(H54:H55)*$M$11</f>
        <v/>
      </c>
    </row>
    <row r="39">
      <c r="A39" s="63" t="inlineStr">
        <is>
          <t>FS-HU-23 Profesionales favoritos (Sprint 3)</t>
        </is>
      </c>
      <c r="B39" s="32" t="n">
        <v>1.5</v>
      </c>
      <c r="C39" s="64" t="n"/>
      <c r="D39" s="64" t="n">
        <v>1</v>
      </c>
      <c r="E39" s="64" t="n">
        <v>9</v>
      </c>
      <c r="F39" s="64" t="n">
        <v>2</v>
      </c>
      <c r="G39" s="64" t="n">
        <v>2</v>
      </c>
      <c r="H39" s="64" t="n">
        <v>2</v>
      </c>
      <c r="L39" s="68" t="inlineStr">
        <is>
          <t>TOTAL CODIFICACION</t>
        </is>
      </c>
      <c r="M39" s="36">
        <f>SUM(M32:M38)</f>
        <v/>
      </c>
    </row>
    <row r="40">
      <c r="A40" s="63" t="inlineStr">
        <is>
          <t>FS-HU-24 Calificar y reseñar profesionales (Sprint 3)</t>
        </is>
      </c>
      <c r="B40" s="32" t="n">
        <v>2</v>
      </c>
      <c r="C40" s="64" t="n"/>
      <c r="D40" s="64" t="n">
        <v>1</v>
      </c>
      <c r="E40" s="64" t="n">
        <v>15</v>
      </c>
      <c r="F40" s="64" t="n">
        <v>4</v>
      </c>
      <c r="G40" s="64" t="n">
        <v>4</v>
      </c>
      <c r="H40" s="64" t="n">
        <v>3</v>
      </c>
    </row>
    <row r="41">
      <c r="A41" s="17" t="inlineStr">
        <is>
          <t>E3 Búsqueda geolocalizada</t>
        </is>
      </c>
      <c r="B41" s="64" t="n"/>
      <c r="C41" s="64" t="n"/>
      <c r="D41" s="64" t="n"/>
      <c r="E41" s="64" t="n"/>
      <c r="F41" s="64" t="n"/>
      <c r="G41" s="64" t="n"/>
      <c r="H41" s="64" t="n"/>
    </row>
    <row r="42">
      <c r="A42" s="63" t="inlineStr">
        <is>
          <t>FS-HU-05 Buscar cerca de mí (Sprint 3)</t>
        </is>
      </c>
      <c r="B42" s="32" t="n">
        <v>3.5</v>
      </c>
      <c r="C42" s="64" t="n"/>
      <c r="D42" s="64" t="n">
        <v>2</v>
      </c>
      <c r="E42" s="64" t="n">
        <v>24</v>
      </c>
      <c r="F42" s="64" t="n">
        <v>6</v>
      </c>
      <c r="G42" s="64" t="n">
        <v>7</v>
      </c>
      <c r="H42" s="64" t="n">
        <v>4</v>
      </c>
    </row>
    <row r="43">
      <c r="A43" s="63" t="inlineStr">
        <is>
          <t>FS-HU-06 Vista de mapa y lista (Sprint 3)</t>
        </is>
      </c>
      <c r="B43" s="32" t="n">
        <v>2</v>
      </c>
      <c r="C43" s="64" t="n"/>
      <c r="D43" s="64" t="n">
        <v>3</v>
      </c>
      <c r="E43" s="64" t="n">
        <v>16</v>
      </c>
      <c r="F43" s="64" t="n">
        <v>1</v>
      </c>
      <c r="G43" s="64" t="n">
        <v>5</v>
      </c>
      <c r="H43" s="64" t="n">
        <v>2</v>
      </c>
    </row>
    <row r="44">
      <c r="A44" s="63" t="inlineStr">
        <is>
          <t>FS-HU-22 Búsqueda avanzada de profesionales (Sprint 3)</t>
        </is>
      </c>
      <c r="B44" s="32" t="n">
        <v>2</v>
      </c>
      <c r="C44" s="64" t="n"/>
      <c r="D44" s="64" t="n">
        <v>1</v>
      </c>
      <c r="E44" s="64" t="n">
        <v>15</v>
      </c>
      <c r="F44" s="64" t="n">
        <v>4</v>
      </c>
      <c r="G44" s="64" t="n">
        <v>4</v>
      </c>
      <c r="H44" s="64" t="n">
        <v>3</v>
      </c>
    </row>
    <row r="45">
      <c r="A45" s="17" t="inlineStr">
        <is>
          <t>E4 Asistente de inteligencia artificial</t>
        </is>
      </c>
      <c r="B45" s="64" t="n"/>
      <c r="C45" s="64" t="n"/>
      <c r="D45" s="64" t="n"/>
      <c r="E45" s="64" t="n"/>
      <c r="F45" s="64" t="n"/>
      <c r="G45" s="64" t="n"/>
      <c r="H45" s="64" t="n"/>
    </row>
    <row r="46">
      <c r="A46" s="63" t="inlineStr">
        <is>
          <t>FS-HU-07 Chat de orientación (Sprint 4)</t>
        </is>
      </c>
      <c r="B46" s="32" t="n">
        <v>3.5</v>
      </c>
      <c r="C46" s="64" t="n"/>
      <c r="D46" s="64" t="n">
        <v>4</v>
      </c>
      <c r="E46" s="64" t="n">
        <v>26</v>
      </c>
      <c r="F46" s="64" t="n">
        <v>2</v>
      </c>
      <c r="G46" s="64" t="n">
        <v>9</v>
      </c>
      <c r="H46" s="64" t="n">
        <v>2</v>
      </c>
    </row>
    <row r="47">
      <c r="A47" s="63" t="inlineStr">
        <is>
          <t>FS-HU-08 Recomendación de profesional (Sprint 4)</t>
        </is>
      </c>
      <c r="B47" s="32" t="n">
        <v>2</v>
      </c>
      <c r="C47" s="64" t="n"/>
      <c r="D47" s="64" t="n">
        <v>3</v>
      </c>
      <c r="E47" s="64" t="n">
        <v>16</v>
      </c>
      <c r="F47" s="64" t="n">
        <v>1</v>
      </c>
      <c r="G47" s="64" t="n">
        <v>5</v>
      </c>
      <c r="H47" s="64" t="n">
        <v>2</v>
      </c>
    </row>
    <row r="48">
      <c r="A48" s="17" t="inlineStr">
        <is>
          <t>E5 Gestor de alimentación</t>
        </is>
      </c>
      <c r="B48" s="64" t="n"/>
      <c r="C48" s="64" t="n"/>
      <c r="D48" s="64" t="n"/>
      <c r="E48" s="64" t="n"/>
      <c r="F48" s="64" t="n"/>
      <c r="G48" s="64" t="n"/>
      <c r="H48" s="64" t="n"/>
    </row>
    <row r="49">
      <c r="A49" s="63" t="inlineStr">
        <is>
          <t>FS-HU-09 Registro por lenguaje natural (Sprint 5)</t>
        </is>
      </c>
      <c r="B49" s="32" t="n">
        <v>3.5</v>
      </c>
      <c r="C49" s="64" t="n"/>
      <c r="D49" s="64" t="n">
        <v>4</v>
      </c>
      <c r="E49" s="64" t="n">
        <v>26</v>
      </c>
      <c r="F49" s="64" t="n">
        <v>2</v>
      </c>
      <c r="G49" s="64" t="n">
        <v>9</v>
      </c>
      <c r="H49" s="64" t="n">
        <v>2</v>
      </c>
    </row>
    <row r="50">
      <c r="A50" s="63" t="inlineStr">
        <is>
          <t>FS-HU-10 Seguimiento de calorías (Sprint 5)</t>
        </is>
      </c>
      <c r="B50" s="32" t="n">
        <v>2</v>
      </c>
      <c r="C50" s="64" t="n"/>
      <c r="D50" s="64" t="n">
        <v>1</v>
      </c>
      <c r="E50" s="64" t="n">
        <v>15</v>
      </c>
      <c r="F50" s="64" t="n">
        <v>4</v>
      </c>
      <c r="G50" s="64" t="n">
        <v>4</v>
      </c>
      <c r="H50" s="64" t="n">
        <v>3</v>
      </c>
    </row>
    <row r="51">
      <c r="A51" s="17" t="inlineStr">
        <is>
          <t>E6 Infraestructura</t>
        </is>
      </c>
      <c r="B51" s="64" t="n"/>
      <c r="C51" s="64" t="n"/>
      <c r="D51" s="64" t="n"/>
      <c r="E51" s="64" t="n"/>
      <c r="F51" s="64" t="n"/>
      <c r="G51" s="64" t="n"/>
      <c r="H51" s="64" t="n"/>
    </row>
    <row r="52">
      <c r="A52" s="63" t="inlineStr">
        <is>
          <t>FS-HU-11 Dockerización (Sprint 5)</t>
        </is>
      </c>
      <c r="B52" s="32" t="n">
        <v>1.5</v>
      </c>
      <c r="C52" s="64" t="n"/>
      <c r="D52" s="64" t="n"/>
      <c r="E52" s="64" t="n">
        <v>8</v>
      </c>
      <c r="F52" s="64" t="n">
        <v>4</v>
      </c>
      <c r="G52" s="64" t="n">
        <v>4</v>
      </c>
      <c r="H52" s="64" t="n"/>
    </row>
    <row r="53">
      <c r="A53" s="17" t="inlineStr">
        <is>
          <t>E7 Reservas</t>
        </is>
      </c>
      <c r="B53" s="64" t="n"/>
      <c r="C53" s="64" t="n"/>
      <c r="D53" s="64" t="n"/>
      <c r="E53" s="64" t="n"/>
      <c r="F53" s="64" t="n"/>
      <c r="G53" s="64" t="n"/>
      <c r="H53" s="64" t="n"/>
    </row>
    <row r="54">
      <c r="A54" s="63" t="inlineStr">
        <is>
          <t>FS-HU-13 Disponibilidad del profesional (Sprint 2)</t>
        </is>
      </c>
      <c r="B54" s="32" t="n">
        <v>2</v>
      </c>
      <c r="C54" s="64" t="n"/>
      <c r="D54" s="64" t="n">
        <v>1</v>
      </c>
      <c r="E54" s="64" t="n">
        <v>15</v>
      </c>
      <c r="F54" s="64" t="n">
        <v>4</v>
      </c>
      <c r="G54" s="64" t="n">
        <v>4</v>
      </c>
      <c r="H54" s="64" t="n">
        <v>3</v>
      </c>
    </row>
    <row r="55">
      <c r="A55" s="63" t="inlineStr">
        <is>
          <t>FS-HU-14 Reservar hora (Sprint 3)</t>
        </is>
      </c>
      <c r="B55" s="32" t="n">
        <v>3.5</v>
      </c>
      <c r="C55" s="64" t="n"/>
      <c r="D55" s="64" t="n">
        <v>2</v>
      </c>
      <c r="E55" s="64" t="n">
        <v>24</v>
      </c>
      <c r="F55" s="64" t="n">
        <v>6</v>
      </c>
      <c r="G55" s="64" t="n">
        <v>7</v>
      </c>
      <c r="H55" s="64" t="n">
        <v>4</v>
      </c>
    </row>
    <row r="56">
      <c r="A56" s="62" t="inlineStr">
        <is>
          <t>Fase Implementación y Cierre (semanas 15 a 18)</t>
        </is>
      </c>
      <c r="B56" s="11" t="inlineStr">
        <is>
          <t>Días</t>
        </is>
      </c>
      <c r="C56" s="11" t="inlineStr">
        <is>
          <t>JP</t>
        </is>
      </c>
      <c r="D56" s="11" t="inlineStr">
        <is>
          <t>AF</t>
        </is>
      </c>
      <c r="E56" s="11" t="inlineStr">
        <is>
          <t>PG</t>
        </is>
      </c>
      <c r="F56" s="11" t="inlineStr">
        <is>
          <t>DBA</t>
        </is>
      </c>
      <c r="G56" s="11" t="inlineStr">
        <is>
          <t>TS</t>
        </is>
      </c>
      <c r="H56" s="11" t="inlineStr">
        <is>
          <t>DI</t>
        </is>
      </c>
    </row>
    <row r="57" ht="28" customHeight="1">
      <c r="A57" s="63" t="inlineStr">
        <is>
          <t>Pruebas de integración con MySQL real y ejecución de los casos de prueba manuales</t>
        </is>
      </c>
      <c r="B57" s="32" t="n">
        <v>1.5</v>
      </c>
      <c r="C57" s="64" t="n"/>
      <c r="D57" s="64" t="n"/>
      <c r="E57" s="64" t="n">
        <v>4</v>
      </c>
      <c r="F57" s="64" t="n"/>
      <c r="G57" s="64" t="n">
        <v>16</v>
      </c>
      <c r="H57" s="64" t="n"/>
    </row>
    <row r="58" ht="28" customHeight="1">
      <c r="A58" s="63" t="inlineStr">
        <is>
          <t>Pruebas de seguridad (npm audit, validación de entradas, OWASP) y de rendimiento (carga básica)</t>
        </is>
      </c>
      <c r="B58" s="32" t="n">
        <v>1</v>
      </c>
      <c r="C58" s="64" t="n"/>
      <c r="D58" s="64" t="n"/>
      <c r="E58" s="64" t="n">
        <v>4</v>
      </c>
      <c r="F58" s="64" t="n">
        <v>1</v>
      </c>
      <c r="G58" s="64" t="n">
        <v>8</v>
      </c>
      <c r="H58" s="64" t="n"/>
    </row>
    <row r="59">
      <c r="A59" s="63" t="inlineStr">
        <is>
          <t>Corrección de defectos (Registro de Defectos)</t>
        </is>
      </c>
      <c r="B59" s="32" t="n">
        <v>0.5</v>
      </c>
      <c r="C59" s="64" t="n"/>
      <c r="D59" s="64" t="n"/>
      <c r="E59" s="64" t="n">
        <v>6</v>
      </c>
      <c r="F59" s="64" t="n"/>
      <c r="G59" s="64" t="n">
        <v>2</v>
      </c>
      <c r="H59" s="64" t="n"/>
    </row>
    <row r="60">
      <c r="A60" s="63" t="inlineStr">
        <is>
          <t>Plan de Pruebas con evidencias (semana 15)</t>
        </is>
      </c>
      <c r="B60" s="32" t="n">
        <v>0.5</v>
      </c>
      <c r="C60" s="64" t="n"/>
      <c r="D60" s="64" t="n">
        <v>2</v>
      </c>
      <c r="E60" s="64" t="n"/>
      <c r="F60" s="64" t="n"/>
      <c r="G60" s="64" t="n">
        <v>6</v>
      </c>
      <c r="H60" s="64" t="n"/>
    </row>
    <row r="61">
      <c r="A61" s="63" t="inlineStr">
        <is>
          <t>Despliegue con docker-compose y Manual técnico y de despliegue</t>
        </is>
      </c>
      <c r="B61" s="32" t="n">
        <v>1</v>
      </c>
      <c r="C61" s="64" t="n">
        <v>1</v>
      </c>
      <c r="D61" s="64" t="n"/>
      <c r="E61" s="64" t="n">
        <v>6</v>
      </c>
      <c r="F61" s="64" t="n">
        <v>2</v>
      </c>
      <c r="G61" s="64" t="n"/>
      <c r="H61" s="64" t="n"/>
    </row>
    <row r="62">
      <c r="A62" s="63" t="inlineStr">
        <is>
          <t>Informe final y presentación del proyecto (Fase 3)</t>
        </is>
      </c>
      <c r="B62" s="32" t="n">
        <v>1.5</v>
      </c>
      <c r="C62" s="64" t="n">
        <v>6</v>
      </c>
      <c r="D62" s="64" t="n">
        <v>6</v>
      </c>
      <c r="E62" s="64" t="n">
        <v>3</v>
      </c>
      <c r="F62" s="64" t="n"/>
      <c r="G62" s="64" t="n"/>
      <c r="H62" s="64" t="n">
        <v>3</v>
      </c>
    </row>
    <row r="63" ht="28" customHeight="1">
      <c r="A63" s="63" t="inlineStr">
        <is>
          <t>Cierre del proyecto (retrospectiva final y entrega de evidencias)</t>
        </is>
      </c>
      <c r="B63" s="32" t="n">
        <v>0.5</v>
      </c>
      <c r="C63" s="64" t="n">
        <v>2</v>
      </c>
      <c r="D63" s="64" t="n">
        <v>1</v>
      </c>
      <c r="E63" s="64" t="n">
        <v>1</v>
      </c>
      <c r="F63" s="64" t="n"/>
      <c r="G63" s="64" t="n"/>
      <c r="H63" s="64" t="n"/>
    </row>
    <row r="64">
      <c r="A64" s="62" t="inlineStr"/>
      <c r="B64" s="11" t="inlineStr">
        <is>
          <t>Días</t>
        </is>
      </c>
      <c r="C64" s="11" t="inlineStr">
        <is>
          <t>JP</t>
        </is>
      </c>
      <c r="D64" s="11" t="inlineStr">
        <is>
          <t>AF</t>
        </is>
      </c>
      <c r="E64" s="11" t="inlineStr">
        <is>
          <t>PG</t>
        </is>
      </c>
      <c r="F64" s="11" t="inlineStr">
        <is>
          <t>DBA</t>
        </is>
      </c>
      <c r="G64" s="11" t="inlineStr">
        <is>
          <t>TS</t>
        </is>
      </c>
      <c r="H64" s="11" t="inlineStr">
        <is>
          <t>DI</t>
        </is>
      </c>
    </row>
    <row r="65" ht="30" customHeight="1">
      <c r="A65" s="19" t="inlineStr">
        <is>
          <t>Total</t>
        </is>
      </c>
      <c r="B65" s="34">
        <f>SUM(B6:B63)</f>
        <v/>
      </c>
      <c r="C65" s="34">
        <f>SUM(C6:C63)</f>
        <v/>
      </c>
      <c r="D65" s="34">
        <f>SUM(D6:D63)</f>
        <v/>
      </c>
      <c r="E65" s="34">
        <f>SUM(E6:E63)</f>
        <v/>
      </c>
      <c r="F65" s="34">
        <f>SUM(F6:F63)</f>
        <v/>
      </c>
      <c r="G65" s="34">
        <f>SUM(G6:G63)</f>
        <v/>
      </c>
      <c r="H65" s="34">
        <f>SUM(H6:H63)</f>
        <v/>
      </c>
    </row>
    <row r="67" ht="15" customHeight="1">
      <c r="A67" s="70" t="inlineStr">
        <is>
          <t>Supuestos de la estimación (actualizada al 03-10-2026)</t>
        </is>
      </c>
    </row>
    <row r="68" ht="40" customHeight="1">
      <c r="A68" s="71" t="inlineStr">
        <is>
          <t>1. Las horas de FS-HU-01 y FS-HU-02 son las reales del Sprint 1 (43 h registradas en el Sprint Backlog). Las demás historias se estiman con la misma relación: 5,4 h por punto de historia (43 h / 8 puntos), es decir, 2 puntos = 11 h, 3 puntos = 16 h, 5 puntos = 27 h y 8 puntos = 43 h.</t>
        </is>
      </c>
    </row>
    <row r="69" ht="40" customHeight="1">
      <c r="A69" s="71" t="inlineStr">
        <is>
          <t>2. Las horas de cada historia se reparten por rol según su tipo: con tablas nuevas (base de datos, API y pantallas), de interfaz (más horas de diseño) o de integración externa e IA (más análisis y pruebas).</t>
        </is>
      </c>
    </row>
    <row r="70" ht="40" customHeight="1">
      <c r="A70" s="71" t="inlineStr">
        <is>
          <t>3. Los puntos de FS-HU-21 a FS-HU-24 son los propuestos (5, 5, 3 y 5), a confirmar en la planificación del Sprint 3. La iteración de cada historia es la del Product Backlog.</t>
        </is>
      </c>
    </row>
    <row r="71" ht="40" customHeight="1">
      <c r="A71" s="71" t="inlineStr">
        <is>
          <t>4. Días = días de trabajo efectivo del equipo (12 h por día: 3 integrantes x 4 h), redondeados a medio día. No son días calendario: las actividades se ejecutan en paralelo dentro de cada sprint, según la Carta Gantt.</t>
        </is>
      </c>
    </row>
    <row r="72" ht="40" customHeight="1">
      <c r="A72" s="71" t="inlineStr">
        <is>
          <t>5. Un integrante puede cumplir varios roles. El costo se obtiene valorizando las horas de cada rol con su valor HH (hoja ANALISIS INGRESOS, sueldo / 180 h mensuales).</t>
        </is>
      </c>
    </row>
    <row r="73" ht="40" customHeight="1">
      <c r="A73" s="71" t="inlineStr">
        <is>
          <t>6. Las horas de las fases de análisis, diseño e implementación y cierre son estimaciones: no hay registro de horas reales de la Fase 1, y las horas reales de cada sprint se registran en su Sprint Backlog y burndown.</t>
        </is>
      </c>
    </row>
  </sheetData>
  <mergeCells count="14">
    <mergeCell ref="L31:M31"/>
    <mergeCell ref="A67:H67"/>
    <mergeCell ref="A70:H70"/>
    <mergeCell ref="A3:H3"/>
    <mergeCell ref="L21:M21"/>
    <mergeCell ref="A69:H69"/>
    <mergeCell ref="A73:H73"/>
    <mergeCell ref="A71:H71"/>
    <mergeCell ref="A2:H2"/>
    <mergeCell ref="J4:M4"/>
    <mergeCell ref="A72:H72"/>
    <mergeCell ref="A68:H68"/>
    <mergeCell ref="C4:H4"/>
    <mergeCell ref="L14:M14"/>
  </mergeCells>
  <pageMargins left="0.7" right="0.7" top="0.75" bottom="0.75" header="0.3" footer="0.3"/>
  <pageSetup orientation="portrait" horizontalDpi="4294967292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42"/>
  <sheetViews>
    <sheetView tabSelected="1" zoomScaleNormal="100" workbookViewId="0">
      <selection activeCell="G6" sqref="G6:G11"/>
    </sheetView>
  </sheetViews>
  <sheetFormatPr baseColWidth="8" defaultColWidth="11.42578125" defaultRowHeight="14.45"/>
  <cols>
    <col width="19.42578125" customWidth="1" min="1" max="1"/>
    <col width="17.5703125" customWidth="1" min="2" max="2"/>
    <col width="11.85546875" customWidth="1" min="3" max="3"/>
    <col width="12" customWidth="1" min="4" max="4"/>
    <col width="13.85546875" customWidth="1" min="5" max="5"/>
    <col width="12.42578125" customWidth="1" min="6" max="7"/>
  </cols>
  <sheetData>
    <row r="2">
      <c r="H2" s="55" t="inlineStr">
        <is>
          <t>FUENTE DE INFORMACION www.mifuturo.cl / www.universia.cl</t>
        </is>
      </c>
    </row>
    <row r="3" ht="18" customHeight="1">
      <c r="H3" s="56" t="inlineStr">
        <is>
          <t>INGENIERIA INFORMÁTICA</t>
        </is>
      </c>
    </row>
    <row r="4">
      <c r="C4" s="11" t="inlineStr">
        <is>
          <t>EXPERIENCIA</t>
        </is>
      </c>
      <c r="D4" s="72" t="n"/>
      <c r="E4" s="73" t="n"/>
    </row>
    <row r="5">
      <c r="A5" s="11" t="inlineStr">
        <is>
          <t>SIGLA</t>
        </is>
      </c>
      <c r="B5" s="11" t="inlineStr">
        <is>
          <t>ROL</t>
        </is>
      </c>
      <c r="C5" s="11" t="inlineStr">
        <is>
          <t>(- 2 años)</t>
        </is>
      </c>
      <c r="D5" s="11" t="inlineStr">
        <is>
          <t>(+2 años)</t>
        </is>
      </c>
      <c r="E5" s="11" t="inlineStr">
        <is>
          <t>RESPONS.</t>
        </is>
      </c>
      <c r="F5" s="11" t="inlineStr">
        <is>
          <t>SUELDO</t>
        </is>
      </c>
      <c r="G5" s="11" t="inlineStr">
        <is>
          <t>HH</t>
        </is>
      </c>
    </row>
    <row r="6">
      <c r="A6" s="11" t="inlineStr">
        <is>
          <t>JP</t>
        </is>
      </c>
      <c r="B6" s="39" t="inlineStr">
        <is>
          <t>Jefe de Proyecto</t>
        </is>
      </c>
      <c r="C6" s="40" t="n"/>
      <c r="D6" s="40" t="inlineStr">
        <is>
          <t>x</t>
        </is>
      </c>
      <c r="E6" s="41" t="n">
        <v>0.5</v>
      </c>
      <c r="F6" s="42">
        <f>(C20*E6)+1300000</f>
        <v/>
      </c>
      <c r="G6" s="42">
        <f>F6/180</f>
        <v/>
      </c>
    </row>
    <row r="7">
      <c r="A7" s="11" t="inlineStr">
        <is>
          <t>AF</t>
        </is>
      </c>
      <c r="B7" s="39" t="inlineStr">
        <is>
          <t>Analista Funcional</t>
        </is>
      </c>
      <c r="C7" s="40" t="n"/>
      <c r="D7" s="40" t="inlineStr">
        <is>
          <t>x</t>
        </is>
      </c>
      <c r="E7" s="41" t="n">
        <v>0.3</v>
      </c>
      <c r="F7" s="42">
        <f>(C22*E7)+1300000</f>
        <v/>
      </c>
      <c r="G7" s="42">
        <f>F7/180</f>
        <v/>
      </c>
    </row>
    <row r="8">
      <c r="A8" s="11" t="inlineStr">
        <is>
          <t>PG</t>
        </is>
      </c>
      <c r="B8" s="39" t="inlineStr">
        <is>
          <t>Programador</t>
        </is>
      </c>
      <c r="C8" s="40" t="inlineStr">
        <is>
          <t>x</t>
        </is>
      </c>
      <c r="D8" s="40" t="n"/>
      <c r="E8" s="40" t="n"/>
      <c r="F8" s="43">
        <f>B19</f>
        <v/>
      </c>
      <c r="G8" s="42">
        <f>F8/180</f>
        <v/>
      </c>
    </row>
    <row r="9">
      <c r="A9" s="11" t="inlineStr">
        <is>
          <t>DBA</t>
        </is>
      </c>
      <c r="B9" s="39" t="inlineStr">
        <is>
          <t>Desarrollador BD</t>
        </is>
      </c>
      <c r="C9" s="40" t="inlineStr">
        <is>
          <t>x</t>
        </is>
      </c>
      <c r="D9" s="40" t="n"/>
      <c r="E9" s="41" t="n">
        <v>0.3</v>
      </c>
      <c r="F9" s="43">
        <f>(B19*E9)+500000</f>
        <v/>
      </c>
      <c r="G9" s="42">
        <f>F9/180</f>
        <v/>
      </c>
    </row>
    <row r="10">
      <c r="A10" s="11" t="inlineStr">
        <is>
          <t>TS</t>
        </is>
      </c>
      <c r="B10" s="39" t="inlineStr">
        <is>
          <t>Testing</t>
        </is>
      </c>
      <c r="C10" s="40" t="inlineStr">
        <is>
          <t>x</t>
        </is>
      </c>
      <c r="D10" s="40" t="n"/>
      <c r="E10" s="40" t="n"/>
      <c r="F10" s="43">
        <f>B19</f>
        <v/>
      </c>
      <c r="G10" s="42">
        <f>F10/180</f>
        <v/>
      </c>
    </row>
    <row r="11">
      <c r="A11" s="11" t="inlineStr">
        <is>
          <t>DI</t>
        </is>
      </c>
      <c r="B11" s="39" t="inlineStr">
        <is>
          <t>Diseñador</t>
        </is>
      </c>
      <c r="C11" s="40" t="inlineStr">
        <is>
          <t>x</t>
        </is>
      </c>
      <c r="D11" s="40" t="n"/>
      <c r="E11" s="40" t="n"/>
      <c r="F11" s="42" t="n">
        <v>500000</v>
      </c>
      <c r="G11" s="42">
        <f>F11/180</f>
        <v/>
      </c>
    </row>
    <row r="12">
      <c r="A12" s="74" t="inlineStr">
        <is>
          <t>El valor HH de cada rol (columna G, sueldo / 180 h mensuales) alimenta la columna COSTO x HORA del diccionario de la hoja EDT.</t>
        </is>
      </c>
    </row>
    <row r="14">
      <c r="D14" t="inlineStr">
        <is>
          <t>Hrs.Sem.</t>
        </is>
      </c>
      <c r="E14" t="n">
        <v>45</v>
      </c>
    </row>
    <row r="15">
      <c r="D15" t="inlineStr">
        <is>
          <t>HRS.Mens.</t>
        </is>
      </c>
      <c r="E15">
        <f>E14*4</f>
        <v/>
      </c>
    </row>
    <row r="16">
      <c r="D16" t="inlineStr">
        <is>
          <t>HH</t>
        </is>
      </c>
      <c r="E16" t="inlineStr">
        <is>
          <t>Sueldo/180hrs</t>
        </is>
      </c>
    </row>
    <row r="18">
      <c r="A18" s="10" t="inlineStr">
        <is>
          <t>PROMEDIO</t>
        </is>
      </c>
      <c r="B18" s="10" t="inlineStr">
        <is>
          <t>PROGRAMADOR</t>
        </is>
      </c>
      <c r="C18" s="10" t="inlineStr">
        <is>
          <t>INGENIERO</t>
        </is>
      </c>
      <c r="D18" s="10" t="inlineStr">
        <is>
          <t>DISEÑADOR</t>
        </is>
      </c>
    </row>
    <row r="19">
      <c r="A19" s="44" t="inlineStr">
        <is>
          <t>Ingreso Primer Año</t>
        </is>
      </c>
      <c r="B19" s="42" t="n">
        <v>500000</v>
      </c>
      <c r="C19" s="42" t="n">
        <v>700000</v>
      </c>
      <c r="D19" s="42" t="n">
        <v>500000</v>
      </c>
    </row>
    <row r="20">
      <c r="A20" s="44" t="inlineStr">
        <is>
          <t>Ingreso Experiencia</t>
        </is>
      </c>
      <c r="B20" s="42" t="n">
        <v>900000</v>
      </c>
      <c r="C20" s="42" t="n">
        <v>1300000</v>
      </c>
      <c r="D20" s="42" t="n">
        <v>800000</v>
      </c>
    </row>
    <row r="23" ht="18" customHeight="1">
      <c r="H23" s="56" t="inlineStr">
        <is>
          <t>ANALISTA PROGRAMADOR</t>
        </is>
      </c>
    </row>
    <row r="42">
      <c r="H42" s="55" t="inlineStr">
        <is>
          <t>DISEÑADOR</t>
        </is>
      </c>
    </row>
  </sheetData>
  <mergeCells count="5">
    <mergeCell ref="H3:K3"/>
    <mergeCell ref="C4:E4"/>
    <mergeCell ref="H2:M2"/>
    <mergeCell ref="H42:K42"/>
    <mergeCell ref="H23:K23"/>
  </mergeCells>
  <pageMargins left="0.7" right="0.7" top="0.75" bottom="0.75" header="0.3" footer="0.3"/>
  <pageSetup orientation="portrait" horizontalDpi="4294967294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Duoc</dc:creator>
  <dcterms:created xmlns:dcterms="http://purl.org/dc/terms/" xmlns:xsi="http://www.w3.org/2001/XMLSchema-instance" xsi:type="dcterms:W3CDTF">2016-03-23T12:19:20Z</dcterms:created>
  <dcterms:modified xmlns:dcterms="http://purl.org/dc/terms/" xmlns:xsi="http://www.w3.org/2001/XMLSchema-instance" xsi:type="dcterms:W3CDTF">2026-10-03T16:20:30Z</dcterms:modified>
  <cp:lastModifiedBy>Juanandres Hernandez Aliaga</cp:lastModifiedBy>
</cp:coreProperties>
</file>