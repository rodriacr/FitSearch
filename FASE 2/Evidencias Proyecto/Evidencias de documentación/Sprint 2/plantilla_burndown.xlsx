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2 - FitSearch" sheetId="1" state="visible" r:id="rId3"/>
  </sheets>
  <calcPr fullCalcOnLoad="1"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2" tint="-0.1"/>
        <bgColor rgb="FFD9D9D9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B8B8B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66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Burndown — Sprint 2 (FitSearch)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"Reales"</c:f>
              <c:strCache>
                <c:ptCount val="1"/>
                <c:pt idx="0">
                  <c:v>Reales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Lit>
              <c:formatCode>General</c:formatCode>
              <c:ptCount val="15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</c:numLit>
          </c:cat>
          <c:val>
            <c:numRef>
              <c:f>'Sprint 2 - FitSearch'!$B$36:$P$36</c:f>
              <c:numCache>
                <c:formatCode>General</c:formatCode>
                <c:ptCount val="15"/>
                <c:pt idx="0">
                  <c:v>110</c:v>
                </c:pt>
                <c:pt idx="1">
                  <c:v>100</c:v>
                </c:pt>
                <c:pt idx="2">
                  <c:v>82</c:v>
                </c:pt>
                <c:pt idx="3">
                  <c:v>70</c:v>
                </c:pt>
                <c:pt idx="4">
                  <c:v>50</c:v>
                </c:pt>
                <c:pt idx="5">
                  <c:v>38</c:v>
                </c:pt>
                <c:pt idx="6">
                  <c:v>38</c:v>
                </c:pt>
                <c:pt idx="7">
                  <c:v>38</c:v>
                </c:pt>
                <c:pt idx="8">
                  <c:v>38</c:v>
                </c:pt>
                <c:pt idx="9">
                  <c:v>38</c:v>
                </c:pt>
                <c:pt idx="10">
                  <c:v>38</c:v>
                </c:pt>
                <c:pt idx="11">
                  <c:v>38</c:v>
                </c:pt>
                <c:pt idx="12">
                  <c:v>27</c:v>
                </c:pt>
                <c:pt idx="13">
                  <c:v>18</c:v>
                </c:pt>
                <c:pt idx="14">
                  <c:v>18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"Estimadas (ideal)"</c:f>
              <c:strCache>
                <c:ptCount val="1"/>
                <c:pt idx="0">
                  <c:v>Estimadas (ideal)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Lit>
              <c:formatCode>General</c:formatCode>
              <c:ptCount val="15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</c:numLit>
          </c:cat>
          <c:val>
            <c:numRef>
              <c:f>'Sprint 2 - FitSearch'!$B$38:$P$38</c:f>
              <c:numCache>
                <c:formatCode>General</c:formatCode>
                <c:ptCount val="15"/>
                <c:pt idx="0">
                  <c:v>110</c:v>
                </c:pt>
                <c:pt idx="1">
                  <c:v>102.143</c:v>
                </c:pt>
                <c:pt idx="2">
                  <c:v>94.2857</c:v>
                </c:pt>
                <c:pt idx="3">
                  <c:v>86.4286</c:v>
                </c:pt>
                <c:pt idx="4">
                  <c:v>78.5714</c:v>
                </c:pt>
                <c:pt idx="5">
                  <c:v>70.7143</c:v>
                </c:pt>
                <c:pt idx="6">
                  <c:v>62.8571</c:v>
                </c:pt>
                <c:pt idx="7">
                  <c:v>55</c:v>
                </c:pt>
                <c:pt idx="8">
                  <c:v>47.1429</c:v>
                </c:pt>
                <c:pt idx="9">
                  <c:v>39.2857</c:v>
                </c:pt>
                <c:pt idx="10">
                  <c:v>31.4286</c:v>
                </c:pt>
                <c:pt idx="11">
                  <c:v>23.5714</c:v>
                </c:pt>
                <c:pt idx="12">
                  <c:v>15.7143</c:v>
                </c:pt>
                <c:pt idx="13">
                  <c:v>7.8571</c:v>
                </c:pt>
                <c:pt idx="14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2806351"/>
        <c:axId val="68727190"/>
      </c:lineChart>
      <c:catAx>
        <c:axId val="128063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Día del 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727190"/>
        <c:crosses val="autoZero"/>
        <c:auto val="1"/>
        <c:lblAlgn val="ctr"/>
        <c:lblOffset val="100"/>
        <c:noMultiLvlLbl val="0"/>
      </c:catAx>
      <c:valAx>
        <c:axId val="68727190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Horas restantes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8063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44</xdr:row>
      <xdr:rowOff>9360</xdr:rowOff>
    </xdr:from>
    <xdr:to>
      <xdr:col>17</xdr:col>
      <xdr:colOff>0</xdr:colOff>
      <xdr:row>66</xdr:row>
      <xdr:rowOff>10440</xdr:rowOff>
    </xdr:to>
    <xdr:graphicFrame>
      <xdr:nvGraphicFramePr>
        <xdr:cNvPr id="0" name="Chart 1"/>
        <xdr:cNvGraphicFramePr/>
      </xdr:nvGraphicFramePr>
      <xdr:xfrm>
        <a:off x="0" y="3848040"/>
        <a:ext cx="719928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70"/>
    <col collapsed="false" customWidth="true" hidden="false" outlineLevel="0" max="2" min="2" style="1" width="12"/>
    <col collapsed="false" customWidth="true" hidden="false" outlineLevel="0" max="17" min="3" style="1" width="5.5"/>
  </cols>
  <sheetData>
    <row r="1" customFormat="false" ht="21" hidden="false" customHeight="true" outlineLevel="0" collapsed="false">
      <c r="A1" s="2" t="inlineStr">
        <is>
          <t xml:space="preserve">Control del Sprint</t>
        </is>
      </c>
      <c r="B1" s="3" t="inlineStr">
        <is>
          <t xml:space="preserve">Sprint 2 - FitSearch</t>
        </is>
      </c>
    </row>
    <row r="3" customFormat="false" ht="15" hidden="false" customHeight="true" outlineLevel="0" collapsed="false">
      <c r="A3" s="4" t="inlineStr">
        <is>
          <t xml:space="preserve">Historias de Usuario o Tarea</t>
        </is>
      </c>
      <c r="B3" s="4" t="inlineStr">
        <is>
          <t xml:space="preserve">horas estimadas</t>
        </is>
      </c>
      <c r="C3" s="4" t="inlineStr">
        <is>
          <t xml:space="preserve">DIA</t>
        </is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 t="inlineStr">
        <is>
          <t xml:space="preserve">Total</t>
        </is>
      </c>
    </row>
    <row r="4" customFormat="false" ht="15" hidden="false" customHeight="true" outlineLevel="0" collapsed="false">
      <c r="A4" s="4"/>
      <c r="B4" s="4"/>
      <c r="C4" s="6" t="n">
        <v>1</v>
      </c>
      <c r="D4" s="6" t="n">
        <v>2</v>
      </c>
      <c r="E4" s="6" t="n">
        <v>3</v>
      </c>
      <c r="F4" s="6" t="n">
        <v>4</v>
      </c>
      <c r="G4" s="6" t="n">
        <v>5</v>
      </c>
      <c r="H4" s="6" t="n">
        <v>6</v>
      </c>
      <c r="I4" s="6" t="n">
        <v>7</v>
      </c>
      <c r="J4" s="6" t="n">
        <v>8</v>
      </c>
      <c r="K4" s="6" t="n">
        <v>9</v>
      </c>
      <c r="L4" s="6" t="n">
        <v>10</v>
      </c>
      <c r="M4" s="6" t="n">
        <v>11</v>
      </c>
      <c r="N4" s="6" t="n">
        <v>12</v>
      </c>
      <c r="O4" s="6" t="n">
        <v>13</v>
      </c>
      <c r="P4" s="6" t="n">
        <v>14</v>
      </c>
      <c r="Q4" s="4"/>
    </row>
    <row r="5" customFormat="false" ht="30" hidden="false" customHeight="true" outlineLevel="0" collapsed="false">
      <c r="A5" s="8" t="inlineStr">
        <is>
          <t xml:space="preserve">FS-HU-03 — Crear las tablas establecimientos y profesionales (migración Prisma) y datos de prueba</t>
        </is>
      </c>
      <c r="B5" s="9" t="n">
        <v>3</v>
      </c>
      <c r="C5" s="10"/>
      <c r="D5" s="10"/>
      <c r="E5" s="10" t="n">
        <v>3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5" t="n">
        <f aca="false">SUM(C5:P5)</f>
        <v>3</v>
      </c>
    </row>
    <row r="6" customFormat="false" ht="30" hidden="false" customHeight="true" outlineLevel="0" collapsed="false">
      <c r="A6" s="22" t="inlineStr">
        <is>
          <t xml:space="preserve">FS-HU-03 — Implementar GET /api/profesionales con filtro por especialidad</t>
        </is>
      </c>
      <c r="B6" s="15" t="n">
        <v>4</v>
      </c>
      <c r="C6" s="10"/>
      <c r="D6" s="10"/>
      <c r="E6" s="10"/>
      <c r="F6" s="10" t="n">
        <v>3</v>
      </c>
      <c r="G6" s="10"/>
      <c r="H6" s="10"/>
      <c r="I6" s="10"/>
      <c r="J6" s="10"/>
      <c r="K6" s="10"/>
      <c r="L6" s="10"/>
      <c r="M6" s="10"/>
      <c r="N6" s="10" t="n">
        <v>1</v>
      </c>
      <c r="O6" s="10"/>
      <c r="P6" s="10"/>
      <c r="Q6" s="15" t="n">
        <f aca="false">SUM(C6:P6)</f>
        <v>4</v>
      </c>
    </row>
    <row r="7" customFormat="false" ht="30" hidden="false" customHeight="true" outlineLevel="0" collapsed="false">
      <c r="A7" s="22" t="inlineStr">
        <is>
          <t xml:space="preserve">FS-HU-03 — Construir la pantalla de listado de profesionales (Frontend)</t>
        </is>
      </c>
      <c r="B7" s="15" t="n">
        <v>5</v>
      </c>
      <c r="C7" s="10"/>
      <c r="D7" s="10"/>
      <c r="E7" s="10"/>
      <c r="F7" s="10" t="n">
        <v>4</v>
      </c>
      <c r="G7" s="10" t="n">
        <v>1</v>
      </c>
      <c r="H7" s="10"/>
      <c r="I7" s="10"/>
      <c r="J7" s="10"/>
      <c r="K7" s="10"/>
      <c r="L7" s="10"/>
      <c r="M7" s="10"/>
      <c r="N7" s="10"/>
      <c r="O7" s="10"/>
      <c r="P7" s="10"/>
      <c r="Q7" s="15" t="n">
        <f aca="false">SUM(C7:P7)</f>
        <v>5</v>
      </c>
    </row>
    <row r="8" customFormat="false" ht="30" hidden="false" customHeight="true" outlineLevel="0" collapsed="false">
      <c r="A8" s="22" t="inlineStr">
        <is>
          <t xml:space="preserve">FS-HU-03 — Pruebas automatizadas del listado (Jest y Vitest)</t>
        </is>
      </c>
      <c r="B8" s="15" t="n">
        <v>3</v>
      </c>
      <c r="C8" s="10"/>
      <c r="D8" s="10"/>
      <c r="E8" s="10"/>
      <c r="F8" s="10" t="n">
        <v>1</v>
      </c>
      <c r="G8" s="10"/>
      <c r="H8" s="10"/>
      <c r="I8" s="10"/>
      <c r="J8" s="10"/>
      <c r="K8" s="10"/>
      <c r="L8" s="10"/>
      <c r="M8" s="10"/>
      <c r="N8" s="10" t="n">
        <v>2</v>
      </c>
      <c r="O8" s="10"/>
      <c r="P8" s="10"/>
      <c r="Q8" s="15" t="n">
        <f aca="false">SUM(C8:P8)</f>
        <v>3</v>
      </c>
    </row>
    <row r="9" customFormat="false" ht="30" hidden="false" customHeight="true" outlineLevel="0" collapsed="false">
      <c r="A9" s="22" t="inlineStr">
        <is>
          <t xml:space="preserve">FS-HU-04 — Implementar los endpoints para crear y editar el perfil profesional (solo rol profesional)</t>
        </is>
      </c>
      <c r="B9" s="15" t="n">
        <v>6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 t="n">
        <v>3</v>
      </c>
      <c r="O9" s="10" t="n">
        <v>2</v>
      </c>
      <c r="P9" s="10"/>
      <c r="Q9" s="15" t="n">
        <f aca="false">SUM(C9:P9)</f>
        <v>5</v>
      </c>
    </row>
    <row r="10" customFormat="false" ht="30" hidden="false" customHeight="true" outlineLevel="0" collapsed="false">
      <c r="A10" s="22" t="inlineStr">
        <is>
          <t xml:space="preserve">FS-HU-04 — Construir la pantalla del perfil profesional (Frontend)</t>
        </is>
      </c>
      <c r="B10" s="15" t="n">
        <v>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 t="n">
        <v>2</v>
      </c>
      <c r="O10" s="10" t="n">
        <v>3</v>
      </c>
      <c r="P10" s="10"/>
      <c r="Q10" s="15" t="n">
        <f aca="false">SUM(C10:P10)</f>
        <v>5</v>
      </c>
    </row>
    <row r="11" customFormat="false" ht="30" hidden="false" customHeight="true" outlineLevel="0" collapsed="false">
      <c r="A11" s="22" t="inlineStr">
        <is>
          <t xml:space="preserve">FS-HU-04 — Pruebas automatizadas del perfil profesional</t>
        </is>
      </c>
      <c r="B11" s="15" t="n">
        <v>3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 t="n">
        <v>1</v>
      </c>
      <c r="P11" s="10"/>
      <c r="Q11" s="15" t="n">
        <f aca="false">SUM(C11:P11)</f>
        <v>1</v>
      </c>
    </row>
    <row r="12" customFormat="false" ht="30" hidden="false" customHeight="true" outlineLevel="0" collapsed="false">
      <c r="A12" s="22" t="inlineStr">
        <is>
          <t xml:space="preserve">FS-HU-13 — Crear la tabla disponibilidades y sus endpoints (validar bloques superpuestos)</t>
        </is>
      </c>
      <c r="B12" s="15" t="n">
        <v>5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5" t="n">
        <f aca="false">SUM(C12:P12)</f>
        <v>0</v>
      </c>
    </row>
    <row r="13" customFormat="false" ht="30" hidden="false" customHeight="true" outlineLevel="0" collapsed="false">
      <c r="A13" s="22" t="inlineStr">
        <is>
          <t xml:space="preserve">FS-HU-13 — Construir la pantalla de gestión de horarios (Frontend)</t>
        </is>
      </c>
      <c r="B13" s="15" t="n">
        <v>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5" t="n">
        <f aca="false">SUM(C13:P13)</f>
        <v>0</v>
      </c>
    </row>
    <row r="14" customFormat="false" ht="30" hidden="false" customHeight="true" outlineLevel="0" collapsed="false">
      <c r="A14" s="22" t="inlineStr">
        <is>
          <t xml:space="preserve">FS-HU-13 — Pruebas automatizadas de disponibilidad</t>
        </is>
      </c>
      <c r="B14" s="15" t="n">
        <v>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5" t="n">
        <f aca="false">SUM(C14:P14)</f>
        <v>0</v>
      </c>
    </row>
    <row r="15" customFormat="false" ht="30" hidden="false" customHeight="true" outlineLevel="0" collapsed="false">
      <c r="A15" s="22" t="inlineStr">
        <is>
          <t xml:space="preserve">FS-HU-15 — Implementar la recuperación de contraseña: tabla tokens_recuperacion, endpoints y envío con Nodemailer</t>
        </is>
      </c>
      <c r="B15" s="15" t="n">
        <v>5</v>
      </c>
      <c r="C15" s="10" t="n">
        <v>3</v>
      </c>
      <c r="D15" s="10" t="n">
        <v>2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5" t="n">
        <f aca="false">SUM(C15:P15)</f>
        <v>5</v>
      </c>
    </row>
    <row r="16" customFormat="false" ht="30" hidden="false" customHeight="true" outlineLevel="0" collapsed="false">
      <c r="A16" s="22" t="inlineStr">
        <is>
          <t xml:space="preserve">FS-HU-15 — Construir las pantallas "¿Olvidaste tu contraseña?" y "Crea una nueva contraseña"</t>
        </is>
      </c>
      <c r="B16" s="15" t="n">
        <v>3</v>
      </c>
      <c r="C16" s="10"/>
      <c r="D16" s="10" t="n">
        <v>3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5" t="n">
        <f aca="false">SUM(C16:P16)</f>
        <v>3</v>
      </c>
    </row>
    <row r="17" customFormat="false" ht="30" hidden="false" customHeight="true" outlineLevel="0" collapsed="false">
      <c r="A17" s="22" t="inlineStr">
        <is>
          <t xml:space="preserve">FS-HU-15 — Configurar la cuenta de correo del proyecto (SMTP con contraseña de aplicación)</t>
        </is>
      </c>
      <c r="B17" s="15" t="n">
        <v>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5" t="n">
        <f aca="false">SUM(C17:P17)</f>
        <v>0</v>
      </c>
    </row>
    <row r="18" customFormat="false" ht="30" hidden="false" customHeight="true" outlineLevel="0" collapsed="false">
      <c r="A18" s="22" t="inlineStr">
        <is>
          <t xml:space="preserve">FS-HU-16 — Crear el ID de cliente OAuth en Google Cloud Console</t>
        </is>
      </c>
      <c r="B18" s="15" t="n">
        <v>1</v>
      </c>
      <c r="C18" s="10"/>
      <c r="D18" s="10"/>
      <c r="E18" s="10"/>
      <c r="F18" s="10" t="n">
        <v>1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5" t="n">
        <f aca="false">SUM(C18:P18)</f>
        <v>1</v>
      </c>
    </row>
    <row r="19" customFormat="false" ht="30" hidden="false" customHeight="true" outlineLevel="0" collapsed="false">
      <c r="A19" s="22" t="inlineStr">
        <is>
          <t xml:space="preserve">FS-HU-16 — Implementar POST /api/auth/google y verificar el ID token (google-auth-library)</t>
        </is>
      </c>
      <c r="B19" s="15" t="n">
        <v>4</v>
      </c>
      <c r="C19" s="10"/>
      <c r="D19" s="10"/>
      <c r="E19" s="10"/>
      <c r="F19" s="10" t="n">
        <v>4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5" t="n">
        <f aca="false">SUM(C19:P19)</f>
        <v>4</v>
      </c>
    </row>
    <row r="20" customFormat="false" ht="30" hidden="false" customHeight="true" outlineLevel="0" collapsed="false">
      <c r="A20" s="22" t="inlineStr">
        <is>
          <t xml:space="preserve">FS-HU-16 — Activar el botón "Continuar con Google" en inicio de sesión y registro</t>
        </is>
      </c>
      <c r="B20" s="15" t="n">
        <v>2</v>
      </c>
      <c r="C20" s="10"/>
      <c r="D20" s="10"/>
      <c r="E20" s="10"/>
      <c r="F20" s="10" t="n">
        <v>2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5" t="n">
        <f aca="false">SUM(C20:P20)</f>
        <v>2</v>
      </c>
    </row>
    <row r="21" customFormat="false" ht="30" hidden="false" customHeight="true" outlineLevel="0" collapsed="false">
      <c r="A21" s="22" t="inlineStr">
        <is>
          <t xml:space="preserve">FS-HU-17 — Registro con confirmación de contraseña y "Recordarme" (backend y frontend)</t>
        </is>
      </c>
      <c r="B21" s="15" t="n">
        <v>3</v>
      </c>
      <c r="C21" s="10" t="n">
        <v>3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5" t="n">
        <f aca="false">SUM(C21:P21)</f>
        <v>3</v>
      </c>
    </row>
    <row r="22" customFormat="false" ht="30" hidden="false" customHeight="true" outlineLevel="0" collapsed="false">
      <c r="A22" s="22" t="inlineStr">
        <is>
          <t xml:space="preserve">FS-HU-17 — Aplicar la identidad visual a las pantallas de acceso (logo, paleta y diseño responsivo)</t>
        </is>
      </c>
      <c r="B22" s="15" t="n">
        <v>4</v>
      </c>
      <c r="C22" s="10" t="n">
        <v>4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5" t="n">
        <f aca="false">SUM(C22:P22)</f>
        <v>4</v>
      </c>
    </row>
    <row r="23" customFormat="false" ht="30" hidden="false" customHeight="true" outlineLevel="0" collapsed="false">
      <c r="A23" s="22" t="inlineStr">
        <is>
          <t xml:space="preserve">FS-HU-18 — Columnas de objetivos en perfiles_usuario, PUT /api/perfil/objetivos y paso 2 del asistente</t>
        </is>
      </c>
      <c r="B23" s="15" t="n">
        <v>3</v>
      </c>
      <c r="C23" s="10"/>
      <c r="D23" s="10" t="n">
        <v>3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5" t="n">
        <f aca="false">SUM(C23:P23)</f>
        <v>3</v>
      </c>
    </row>
    <row r="24" customFormat="false" ht="30" hidden="false" customHeight="true" outlineLevel="0" collapsed="false">
      <c r="A24" s="22" t="inlineStr">
        <is>
          <t xml:space="preserve">FS-HU-19 — Tabla informacion_salud, PUT /api/perfil/salud y paso 3 del asistente</t>
        </is>
      </c>
      <c r="B24" s="15" t="n">
        <v>4</v>
      </c>
      <c r="C24" s="10"/>
      <c r="D24" s="10"/>
      <c r="E24" s="10" t="n">
        <v>4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5" t="n">
        <f aca="false">SUM(C24:P24)</f>
        <v>4</v>
      </c>
    </row>
    <row r="25" customFormat="false" ht="30" hidden="false" customHeight="true" outlineLevel="0" collapsed="false">
      <c r="A25" s="22" t="inlineStr">
        <is>
          <t xml:space="preserve">FS-HU-19 — Asistente de perfil de 5 pasos y resumen con "Editar" (rediseño de FS-HU-02)</t>
        </is>
      </c>
      <c r="B25" s="15" t="n">
        <v>4</v>
      </c>
      <c r="C25" s="10"/>
      <c r="D25" s="10"/>
      <c r="E25" s="10"/>
      <c r="F25" s="10"/>
      <c r="G25" s="10" t="n">
        <v>4</v>
      </c>
      <c r="H25" s="10"/>
      <c r="I25" s="10"/>
      <c r="J25" s="10"/>
      <c r="K25" s="10"/>
      <c r="L25" s="10"/>
      <c r="M25" s="10"/>
      <c r="N25" s="10"/>
      <c r="O25" s="10"/>
      <c r="P25" s="10"/>
      <c r="Q25" s="15" t="n">
        <f aca="false">SUM(C25:P25)</f>
        <v>4</v>
      </c>
    </row>
    <row r="26" customFormat="false" ht="30" hidden="false" customHeight="true" outlineLevel="0" collapsed="false">
      <c r="A26" s="22" t="inlineStr">
        <is>
          <t xml:space="preserve">FS-HU-19 — Casos de prueba manuales y evidencias del Sprint 2 (CP-008 a CP-019)</t>
        </is>
      </c>
      <c r="B26" s="15" t="n">
        <v>3</v>
      </c>
      <c r="C26" s="10"/>
      <c r="D26" s="10"/>
      <c r="E26" s="10"/>
      <c r="F26" s="10"/>
      <c r="G26" s="10" t="n">
        <v>3</v>
      </c>
      <c r="H26" s="10"/>
      <c r="I26" s="10"/>
      <c r="J26" s="10"/>
      <c r="K26" s="10"/>
      <c r="L26" s="10"/>
      <c r="M26" s="10"/>
      <c r="N26" s="10"/>
      <c r="O26" s="10"/>
      <c r="P26" s="10"/>
      <c r="Q26" s="15" t="n">
        <f aca="false">SUM(C26:P26)</f>
        <v>3</v>
      </c>
    </row>
    <row r="27" customFormat="false" ht="30" hidden="false" customHeight="true" outlineLevel="0" collapsed="false">
      <c r="A27" s="22" t="inlineStr">
        <is>
          <t xml:space="preserve">FS-HU-20 — Construir la portada pública (Inicio.jsx) con sus pruebas automatizadas</t>
        </is>
      </c>
      <c r="B27" s="15" t="n">
        <v>5</v>
      </c>
      <c r="C27" s="10"/>
      <c r="D27" s="10" t="n">
        <v>5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5" t="n">
        <f aca="false">SUM(C27:P27)</f>
        <v>5</v>
      </c>
    </row>
    <row r="28" customFormat="false" ht="30" hidden="false" customHeight="true" outlineLevel="0" collapsed="false">
      <c r="A28" s="22" t="inlineStr">
        <is>
          <t xml:space="preserve">FS-HU-20 — Portada solo para invitados: redirección al perfil con sesión, cierre de sesión hacia la portada y casos de prueba CP-020 a CP-023</t>
        </is>
      </c>
      <c r="B28" s="15" t="n">
        <v>3</v>
      </c>
      <c r="C28" s="10"/>
      <c r="D28" s="10"/>
      <c r="E28" s="10" t="n">
        <v>3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5" t="n">
        <f aca="false">SUM(C28:P28)</f>
        <v>3</v>
      </c>
    </row>
    <row r="29" customFormat="false" ht="30" hidden="false" customHeight="true" outlineLevel="0" collapsed="false">
      <c r="A29" s="22" t="inlineStr">
        <is>
          <t xml:space="preserve">FS-HU-20 — Revisión de código y PR de las historias del Sprint 2 (DoD)</t>
        </is>
      </c>
      <c r="B29" s="15" t="n">
        <v>2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 t="n">
        <v>2</v>
      </c>
      <c r="P29" s="10"/>
      <c r="Q29" s="15" t="n">
        <f aca="false">SUM(C29:P29)</f>
        <v>2</v>
      </c>
    </row>
    <row r="30" customFormat="false" ht="30" hidden="false" customHeight="true" outlineLevel="0" collapsed="false">
      <c r="A30" s="22" t="inlineStr">
        <is>
          <t xml:space="preserve">FS-HU-02 — Mover la elección del tipo de cuenta del registro al paso 1 del asistente de perfil: columna rol_confirmado, PUT /api/perfil/tipo-cuenta y token nuevo con el rol</t>
        </is>
      </c>
      <c r="B30" s="15" t="n">
        <v>4</v>
      </c>
      <c r="C30" s="10"/>
      <c r="D30" s="10"/>
      <c r="E30" s="10"/>
      <c r="F30" s="10" t="n">
        <v>3</v>
      </c>
      <c r="G30" s="10" t="n">
        <v>1</v>
      </c>
      <c r="H30" s="10"/>
      <c r="I30" s="10"/>
      <c r="J30" s="10"/>
      <c r="K30" s="10"/>
      <c r="L30" s="10"/>
      <c r="M30" s="10"/>
      <c r="N30" s="10"/>
      <c r="O30" s="10"/>
      <c r="P30" s="10"/>
      <c r="Q30" s="15" t="n">
        <f aca="false">SUM(C30:P30)</f>
        <v>4</v>
      </c>
    </row>
    <row r="31" customFormat="false" ht="30" hidden="false" customHeight="true" outlineLevel="0" collapsed="false">
      <c r="A31" s="22" t="inlineStr">
        <is>
          <t xml:space="preserve">FS-HU-03 — Integrar resultados de Google Places en el directorio (propuesta de cambio SC-09)</t>
        </is>
      </c>
      <c r="B31" s="15" t="n">
        <v>3</v>
      </c>
      <c r="C31" s="10"/>
      <c r="D31" s="10"/>
      <c r="E31" s="10"/>
      <c r="F31" s="10"/>
      <c r="G31" s="10" t="n">
        <v>3</v>
      </c>
      <c r="H31" s="10"/>
      <c r="I31" s="10"/>
      <c r="J31" s="10"/>
      <c r="K31" s="10"/>
      <c r="L31" s="10"/>
      <c r="M31" s="10"/>
      <c r="N31" s="10"/>
      <c r="O31" s="10"/>
      <c r="P31" s="10"/>
      <c r="Q31" s="15" t="n">
        <f aca="false">SUM(C31:P31)</f>
        <v>3</v>
      </c>
    </row>
    <row r="32" customFormat="false" ht="30" hidden="false" customHeight="true" outlineLevel="0" collapsed="false">
      <c r="A32" s="22" t="inlineStr">
        <is>
          <t xml:space="preserve">Sprint 2 — Actualizar el DAS y los diagramas UML del modelo 4+1 (10 ilustraciones) con los cambios del Sprint 2</t>
        </is>
      </c>
      <c r="B32" s="15" t="n">
        <v>6</v>
      </c>
      <c r="C32" s="10"/>
      <c r="D32" s="10" t="n">
        <v>2</v>
      </c>
      <c r="E32" s="10" t="n">
        <v>2</v>
      </c>
      <c r="F32" s="10"/>
      <c r="G32" s="10"/>
      <c r="H32" s="10"/>
      <c r="I32" s="10"/>
      <c r="J32" s="10"/>
      <c r="K32" s="10"/>
      <c r="L32" s="10"/>
      <c r="M32" s="10"/>
      <c r="N32" s="10" t="n">
        <v>2</v>
      </c>
      <c r="O32" s="10"/>
      <c r="P32" s="10"/>
      <c r="Q32" s="15" t="n">
        <f aca="false">SUM(C32:P32)</f>
        <v>6</v>
      </c>
    </row>
    <row r="33" customFormat="false" ht="30" hidden="false" customHeight="true" outlineLevel="0" collapsed="false">
      <c r="A33" s="22" t="inlineStr">
        <is>
          <t xml:space="preserve">Sprint 2 — Revisar, reemplazar y exportar los diagramas del modelo 4+1 en el tablero Miro (PR #7)</t>
        </is>
      </c>
      <c r="B33" s="15" t="n">
        <v>5</v>
      </c>
      <c r="C33" s="10"/>
      <c r="D33" s="10" t="n">
        <v>3</v>
      </c>
      <c r="E33" s="10"/>
      <c r="F33" s="10" t="n">
        <v>2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5" t="n">
        <f aca="false">SUM(C33:P33)</f>
        <v>5</v>
      </c>
    </row>
    <row r="34" customFormat="false" ht="30" hidden="false" customHeight="true" outlineLevel="0" collapsed="false">
      <c r="A34" s="22" t="inlineStr">
        <is>
          <t xml:space="preserve">Sprint 2 — Revisión de código del PR #8 (FS-HU-03) y aceptación de las historias del Sprint 2 por el Product Owner</t>
        </is>
      </c>
      <c r="B34" s="15" t="n">
        <v>2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 t="n">
        <v>1</v>
      </c>
      <c r="O34" s="10" t="n">
        <v>1</v>
      </c>
      <c r="P34" s="10"/>
      <c r="Q34" s="15" t="n">
        <f aca="false">SUM(C34:P34)</f>
        <v>2</v>
      </c>
    </row>
    <row r="36" customFormat="false" ht="30" hidden="false" customHeight="true" outlineLevel="0" collapsed="false">
      <c r="A36" s="23" t="inlineStr">
        <is>
          <t xml:space="preserve">Reales de producto por realizar</t>
        </is>
      </c>
      <c r="B36" s="3" t="n">
        <f aca="false">SUM(B5:B34)</f>
        <v>110</v>
      </c>
      <c r="C36" s="15" t="n">
        <f aca="false">B36-SUM(C5:C34)</f>
        <v>100</v>
      </c>
      <c r="D36" s="15" t="n">
        <f aca="false">C36-SUM(D5:D34)</f>
        <v>82</v>
      </c>
      <c r="E36" s="15" t="n">
        <f aca="false">D36-SUM(E5:E34)</f>
        <v>70</v>
      </c>
      <c r="F36" s="15" t="n">
        <f aca="false">E36-SUM(F5:F34)</f>
        <v>50</v>
      </c>
      <c r="G36" s="15" t="n">
        <f aca="false">F36-SUM(G5:G34)</f>
        <v>38</v>
      </c>
      <c r="H36" s="15" t="n">
        <f aca="false">G36-SUM(H5:H34)</f>
        <v>38</v>
      </c>
      <c r="I36" s="15" t="n">
        <f aca="false">H36-SUM(I5:I34)</f>
        <v>38</v>
      </c>
      <c r="J36" s="15" t="n">
        <f aca="false">I36-SUM(J5:J34)</f>
        <v>38</v>
      </c>
      <c r="K36" s="15" t="n">
        <f aca="false">J36-SUM(K5:K34)</f>
        <v>38</v>
      </c>
      <c r="L36" s="15" t="n">
        <f aca="false">K36-SUM(L5:L34)</f>
        <v>38</v>
      </c>
      <c r="M36" s="15" t="n">
        <f aca="false">L36-SUM(M5:M34)</f>
        <v>38</v>
      </c>
      <c r="N36" s="15" t="n">
        <f aca="false">M36-SUM(N5:N34)</f>
        <v>27</v>
      </c>
      <c r="O36" s="15" t="n">
        <f aca="false">N36-SUM(O5:O34)</f>
        <v>18</v>
      </c>
      <c r="P36" s="15" t="n">
        <f aca="false">O36-SUM(P5:P34)</f>
        <v>18</v>
      </c>
    </row>
    <row r="38" customFormat="false" ht="15" hidden="false" customHeight="true" outlineLevel="0" collapsed="false">
      <c r="A38" s="3" t="inlineStr">
        <is>
          <t xml:space="preserve">Estimadas de producto por realizar (línea ideal)</t>
        </is>
      </c>
      <c r="B38" s="24" t="n">
        <f aca="false">SUM(B5:B34)</f>
        <v>110</v>
      </c>
      <c r="C38" s="15" t="n">
        <f aca="false">B38-(SUM($B$5:$B$34)/14)</f>
        <v>102.143</v>
      </c>
      <c r="D38" s="15" t="n">
        <f aca="false">C38-(SUM($B$5:$B$34)/14)</f>
        <v>94.2857</v>
      </c>
      <c r="E38" s="15" t="n">
        <f aca="false">D38-(SUM($B$5:$B$34)/14)</f>
        <v>86.4286</v>
      </c>
      <c r="F38" s="15" t="n">
        <f aca="false">E38-(SUM($B$5:$B$34)/14)</f>
        <v>78.5714</v>
      </c>
      <c r="G38" s="15" t="n">
        <f aca="false">F38-(SUM($B$5:$B$34)/14)</f>
        <v>70.7143</v>
      </c>
      <c r="H38" s="15" t="n">
        <f aca="false">G38-(SUM($B$5:$B$34)/14)</f>
        <v>62.8571</v>
      </c>
      <c r="I38" s="15" t="n">
        <f aca="false">H38-(SUM($B$5:$B$34)/14)</f>
        <v>55</v>
      </c>
      <c r="J38" s="15" t="n">
        <f aca="false">I38-(SUM($B$5:$B$34)/14)</f>
        <v>47.1429</v>
      </c>
      <c r="K38" s="15" t="n">
        <f aca="false">J38-(SUM($B$5:$B$34)/14)</f>
        <v>39.2857</v>
      </c>
      <c r="L38" s="15" t="n">
        <f aca="false">K38-(SUM($B$5:$B$34)/14)</f>
        <v>31.4286</v>
      </c>
      <c r="M38" s="15" t="n">
        <f aca="false">L38-(SUM($B$5:$B$34)/14)</f>
        <v>23.5714</v>
      </c>
      <c r="N38" s="15" t="n">
        <f aca="false">M38-(SUM($B$5:$B$34)/14)</f>
        <v>15.7143</v>
      </c>
      <c r="O38" s="15" t="n">
        <f aca="false">N38-(SUM($B$5:$B$34)/14)</f>
        <v>7.8571</v>
      </c>
      <c r="P38" s="15" t="n">
        <f aca="false">O38-(SUM($B$5:$B$34)/14)</f>
        <v>0</v>
      </c>
    </row>
    <row r="40" customFormat="false" ht="15" hidden="false" customHeight="true" outlineLevel="0" collapsed="false">
      <c r="A40" s="26" t="inlineStr">
        <is>
          <t xml:space="preserve">Nota: burndown del Sprint 2 (semanas 7 y 8, del 21-09-2026 al 04-10-2026; día 1 = 21-09-2026). 30 tareas con 110 h estimadas. Horas reales registradas al cierre del sprint según el trabajo entregado por cada integrante (commits y pull requests): Rodrigo Cárcamo Rojas 51 h, Nicolás Silva 23 h y Luis Méndez 18 h (92 h en total). Quedan 18 h que pasan al Sprint 3: FS-HU-04 en corrección (PR #11), FS-HU-13 sin iniciar y la configuración del correo SMTP de FS-HU-15.</t>
        </is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</row>
    <row r="41" customFormat="false" ht="15" hidden="false" customHeight="true" outlineLevel="0" collapsed="false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</row>
    <row r="42" customFormat="false" ht="15" hidden="false" customHeight="true" outlineLevel="0" collapsed="false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</row>
    <row r="43" customFormat="false" ht="15" hidden="false" customHeight="true" outlineLevel="0" collapsed="false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</row>
  </sheetData>
  <mergeCells count="4">
    <mergeCell ref="A3:A4"/>
    <mergeCell ref="B3:B4"/>
    <mergeCell ref="C3:P3"/>
    <mergeCell ref="A40:P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  <dc:description/>
  <dc:language>en-US</dc:language>
  <cp:lastModifiedBy/>
  <dcterms:modified xsi:type="dcterms:W3CDTF">2026-10-07T00:00:00Z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